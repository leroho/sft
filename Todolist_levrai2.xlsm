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15345" windowHeight="4635"/>
  </bookViews>
  <sheets>
    <sheet name="Resume" sheetId="1" r:id="rId1"/>
    <sheet name="Semaine1" sheetId="2" r:id="rId2"/>
    <sheet name="Semaine 2" sheetId="3" r:id="rId3"/>
    <sheet name="Semaine 3" sheetId="4" r:id="rId4"/>
    <sheet name="Semaine 4" sheetId="11" r:id="rId5"/>
    <sheet name="Semaine 5" sheetId="5" r:id="rId6"/>
    <sheet name="Semaine 6" sheetId="6" r:id="rId7"/>
    <sheet name="Semaine 7" sheetId="7" r:id="rId8"/>
    <sheet name="Semaine 8" sheetId="8" r:id="rId9"/>
    <sheet name="Semaine 9" sheetId="9" r:id="rId10"/>
    <sheet name="Semaine 10" sheetId="10" r:id="rId11"/>
  </sheets>
  <definedNames>
    <definedName name="equipe">Resume!$A$4:$A$9</definedName>
    <definedName name="taches">Resume!$A$13:$A$39</definedName>
  </definedNames>
  <calcPr calcId="152511" iterateDelta="1E-4"/>
</workbook>
</file>

<file path=xl/calcChain.xml><?xml version="1.0" encoding="utf-8"?>
<calcChain xmlns="http://schemas.openxmlformats.org/spreadsheetml/2006/main">
  <c r="F8" i="8" l="1"/>
  <c r="F7" i="8"/>
  <c r="F6" i="8"/>
  <c r="F5" i="8"/>
  <c r="F4" i="8"/>
  <c r="B11" i="8"/>
  <c r="F11" i="8" s="1"/>
  <c r="J11" i="8" s="1"/>
  <c r="N11" i="8" s="1"/>
  <c r="R11" i="8" s="1"/>
  <c r="V11" i="8" s="1"/>
  <c r="Z11" i="8" s="1"/>
  <c r="B11" i="4"/>
  <c r="F11" i="4" s="1"/>
  <c r="J11" i="4" s="1"/>
  <c r="N11" i="4" s="1"/>
  <c r="R11" i="4" s="1"/>
  <c r="V11" i="4" s="1"/>
  <c r="Z11" i="4" s="1"/>
  <c r="F8" i="4"/>
  <c r="F7" i="4"/>
  <c r="F6" i="4"/>
  <c r="F5" i="4"/>
  <c r="F4" i="4"/>
  <c r="C30" i="10"/>
  <c r="E30" i="10"/>
  <c r="AD30" i="10" s="1"/>
  <c r="G30" i="10"/>
  <c r="I30" i="10"/>
  <c r="I10" i="10" s="1"/>
  <c r="K30" i="10"/>
  <c r="M30" i="10"/>
  <c r="O30" i="10"/>
  <c r="Q30" i="10"/>
  <c r="Q10" i="10" s="1"/>
  <c r="S30" i="10"/>
  <c r="U30" i="10"/>
  <c r="W30" i="10"/>
  <c r="Y30" i="10"/>
  <c r="Y10" i="10" s="1"/>
  <c r="AA30" i="10"/>
  <c r="AC30" i="10"/>
  <c r="AD29" i="10"/>
  <c r="AD28" i="10"/>
  <c r="AD27" i="10"/>
  <c r="AD26" i="10"/>
  <c r="AD25" i="10"/>
  <c r="AD24" i="10"/>
  <c r="AD23" i="10"/>
  <c r="AD22" i="10"/>
  <c r="AD21" i="10"/>
  <c r="AD20" i="10"/>
  <c r="AD19" i="10"/>
  <c r="AD18" i="10"/>
  <c r="AD17" i="10"/>
  <c r="AD16" i="10"/>
  <c r="AD15" i="10"/>
  <c r="AD14" i="10"/>
  <c r="AD13" i="10"/>
  <c r="B11" i="10"/>
  <c r="F11" i="10" s="1"/>
  <c r="J11" i="10" s="1"/>
  <c r="N11" i="10" s="1"/>
  <c r="R11" i="10" s="1"/>
  <c r="V11" i="10" s="1"/>
  <c r="Z11" i="10" s="1"/>
  <c r="AC10" i="10"/>
  <c r="U10" i="10"/>
  <c r="M10" i="10"/>
  <c r="E10" i="10"/>
  <c r="F8" i="10"/>
  <c r="F7" i="10"/>
  <c r="F6" i="10"/>
  <c r="F5" i="10"/>
  <c r="F4" i="10"/>
  <c r="C30" i="9"/>
  <c r="E30" i="9"/>
  <c r="G30" i="9"/>
  <c r="I30" i="9"/>
  <c r="I10" i="9" s="1"/>
  <c r="K30" i="9"/>
  <c r="M30" i="9"/>
  <c r="O30" i="9"/>
  <c r="Q30" i="9"/>
  <c r="Q10" i="9" s="1"/>
  <c r="S30" i="9"/>
  <c r="U30" i="9"/>
  <c r="W30" i="9"/>
  <c r="Y30" i="9"/>
  <c r="Y10" i="9" s="1"/>
  <c r="AA30" i="9"/>
  <c r="AC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B11" i="9"/>
  <c r="F11" i="9" s="1"/>
  <c r="J11" i="9" s="1"/>
  <c r="N11" i="9" s="1"/>
  <c r="R11" i="9" s="1"/>
  <c r="V11" i="9" s="1"/>
  <c r="Z11" i="9" s="1"/>
  <c r="AC10" i="9"/>
  <c r="U10" i="9"/>
  <c r="M10" i="9"/>
  <c r="E10" i="9"/>
  <c r="F8" i="9"/>
  <c r="F7" i="9"/>
  <c r="F6" i="9"/>
  <c r="F5" i="9"/>
  <c r="F4" i="9"/>
  <c r="C30" i="8"/>
  <c r="E30" i="8"/>
  <c r="G30" i="8"/>
  <c r="I30" i="8"/>
  <c r="K30" i="8"/>
  <c r="M10" i="8" s="1"/>
  <c r="M30" i="8"/>
  <c r="O30" i="8"/>
  <c r="Q10" i="8" s="1"/>
  <c r="Q30" i="8"/>
  <c r="S30" i="8"/>
  <c r="U10" i="8" s="1"/>
  <c r="U30" i="8"/>
  <c r="W30" i="8"/>
  <c r="Y30" i="8"/>
  <c r="AA30" i="8"/>
  <c r="AC10" i="8" s="1"/>
  <c r="AC30" i="8"/>
  <c r="AD29" i="8"/>
  <c r="AD28" i="8"/>
  <c r="AD27" i="8"/>
  <c r="AD26" i="8"/>
  <c r="AD25" i="8"/>
  <c r="AD24" i="8"/>
  <c r="AD23" i="8"/>
  <c r="AD22" i="8"/>
  <c r="AD21" i="8"/>
  <c r="AD20" i="8"/>
  <c r="AD19" i="8"/>
  <c r="AD18" i="8"/>
  <c r="AD17" i="8"/>
  <c r="AD16" i="8"/>
  <c r="AD15" i="8"/>
  <c r="AD14" i="8"/>
  <c r="AD13" i="8"/>
  <c r="Y10" i="8"/>
  <c r="I10" i="8"/>
  <c r="E10" i="8"/>
  <c r="C30" i="7"/>
  <c r="E30" i="7"/>
  <c r="G30" i="7"/>
  <c r="I10" i="7" s="1"/>
  <c r="I30" i="7"/>
  <c r="K30" i="7"/>
  <c r="M10" i="7" s="1"/>
  <c r="M30" i="7"/>
  <c r="O30" i="7"/>
  <c r="Q30" i="7"/>
  <c r="S30" i="7"/>
  <c r="U30" i="7"/>
  <c r="W30" i="7"/>
  <c r="Y10" i="7" s="1"/>
  <c r="Y30" i="7"/>
  <c r="AA30" i="7"/>
  <c r="AC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D13" i="7"/>
  <c r="B11" i="7"/>
  <c r="F11" i="7" s="1"/>
  <c r="J11" i="7" s="1"/>
  <c r="N11" i="7" s="1"/>
  <c r="R11" i="7" s="1"/>
  <c r="V11" i="7" s="1"/>
  <c r="Z11" i="7" s="1"/>
  <c r="AC10" i="7"/>
  <c r="U10" i="7"/>
  <c r="Q10" i="7"/>
  <c r="E10" i="7"/>
  <c r="F8" i="7"/>
  <c r="F7" i="7"/>
  <c r="F6" i="7"/>
  <c r="F5" i="7"/>
  <c r="F4" i="7"/>
  <c r="C30" i="6"/>
  <c r="E30" i="6"/>
  <c r="G30" i="6"/>
  <c r="I30" i="6"/>
  <c r="K30" i="6"/>
  <c r="M30" i="6"/>
  <c r="O30" i="6"/>
  <c r="Q30" i="6"/>
  <c r="S30" i="6"/>
  <c r="U30" i="6"/>
  <c r="W30" i="6"/>
  <c r="Y10" i="6" s="1"/>
  <c r="Y30" i="6"/>
  <c r="AA30" i="6"/>
  <c r="AC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D13" i="6"/>
  <c r="B11" i="6"/>
  <c r="F11" i="6" s="1"/>
  <c r="J11" i="6" s="1"/>
  <c r="N11" i="6" s="1"/>
  <c r="R11" i="6" s="1"/>
  <c r="V11" i="6" s="1"/>
  <c r="Z11" i="6" s="1"/>
  <c r="AC10" i="6"/>
  <c r="U10" i="6"/>
  <c r="Q10" i="6"/>
  <c r="M10" i="6"/>
  <c r="E10" i="6"/>
  <c r="F8" i="6"/>
  <c r="F7" i="6"/>
  <c r="F6" i="6"/>
  <c r="F5" i="6"/>
  <c r="F4" i="6"/>
  <c r="C30" i="5"/>
  <c r="E30" i="5"/>
  <c r="E10" i="5" s="1"/>
  <c r="G30" i="5"/>
  <c r="I30" i="5"/>
  <c r="K30" i="5"/>
  <c r="M30" i="5"/>
  <c r="O30" i="5"/>
  <c r="Q30" i="5"/>
  <c r="S30" i="5"/>
  <c r="U30" i="5"/>
  <c r="W30" i="5"/>
  <c r="Y30" i="5"/>
  <c r="AA30" i="5"/>
  <c r="AC30" i="5"/>
  <c r="AD29" i="5"/>
  <c r="AD28" i="5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B11" i="5"/>
  <c r="F11" i="5" s="1"/>
  <c r="J11" i="5" s="1"/>
  <c r="N11" i="5" s="1"/>
  <c r="R11" i="5" s="1"/>
  <c r="V11" i="5" s="1"/>
  <c r="Z11" i="5" s="1"/>
  <c r="AC10" i="5"/>
  <c r="U10" i="5"/>
  <c r="Q10" i="5"/>
  <c r="M10" i="5"/>
  <c r="F8" i="5"/>
  <c r="F7" i="5"/>
  <c r="F6" i="5"/>
  <c r="F5" i="5"/>
  <c r="F4" i="5"/>
  <c r="C30" i="11"/>
  <c r="E30" i="11"/>
  <c r="E10" i="11" s="1"/>
  <c r="G30" i="11"/>
  <c r="I10" i="11" s="1"/>
  <c r="I30" i="11"/>
  <c r="K30" i="11"/>
  <c r="M30" i="11"/>
  <c r="O30" i="11"/>
  <c r="Q30" i="11"/>
  <c r="S30" i="11"/>
  <c r="U30" i="11"/>
  <c r="W30" i="11"/>
  <c r="Y30" i="11"/>
  <c r="AA30" i="11"/>
  <c r="AC30" i="11"/>
  <c r="AD29" i="11"/>
  <c r="AD28" i="11"/>
  <c r="AD27" i="11"/>
  <c r="AD26" i="11"/>
  <c r="AD25" i="11"/>
  <c r="AD24" i="11"/>
  <c r="AD23" i="11"/>
  <c r="AD22" i="11"/>
  <c r="AD21" i="11"/>
  <c r="AD20" i="11"/>
  <c r="AD19" i="11"/>
  <c r="AD18" i="11"/>
  <c r="AD17" i="11"/>
  <c r="AD16" i="11"/>
  <c r="AD15" i="11"/>
  <c r="AD14" i="11"/>
  <c r="AD13" i="11"/>
  <c r="B11" i="11"/>
  <c r="F11" i="11" s="1"/>
  <c r="J11" i="11" s="1"/>
  <c r="N11" i="11" s="1"/>
  <c r="R11" i="11" s="1"/>
  <c r="V11" i="11" s="1"/>
  <c r="Z11" i="11" s="1"/>
  <c r="AC10" i="11"/>
  <c r="Q10" i="11"/>
  <c r="M10" i="11"/>
  <c r="F8" i="11"/>
  <c r="F7" i="11"/>
  <c r="F6" i="11"/>
  <c r="F5" i="11"/>
  <c r="F4" i="11"/>
  <c r="C30" i="4"/>
  <c r="E30" i="4"/>
  <c r="G30" i="4"/>
  <c r="I30" i="4"/>
  <c r="K30" i="4"/>
  <c r="M30" i="4"/>
  <c r="O30" i="4"/>
  <c r="Q30" i="4"/>
  <c r="Q10" i="4" s="1"/>
  <c r="S30" i="4"/>
  <c r="U30" i="4"/>
  <c r="W30" i="4"/>
  <c r="Y10" i="4" s="1"/>
  <c r="Y30" i="4"/>
  <c r="AA30" i="4"/>
  <c r="AC30" i="4"/>
  <c r="AC10" i="4" s="1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AD13" i="4"/>
  <c r="U10" i="4"/>
  <c r="E10" i="4"/>
  <c r="C30" i="3"/>
  <c r="E30" i="3"/>
  <c r="G30" i="3"/>
  <c r="I10" i="3" s="1"/>
  <c r="I30" i="3"/>
  <c r="K30" i="3"/>
  <c r="M30" i="3"/>
  <c r="M10" i="3" s="1"/>
  <c r="O30" i="3"/>
  <c r="Q30" i="3"/>
  <c r="Q10" i="3" s="1"/>
  <c r="S30" i="3"/>
  <c r="U30" i="3"/>
  <c r="W30" i="3"/>
  <c r="Y10" i="3" s="1"/>
  <c r="Y30" i="3"/>
  <c r="AA30" i="3"/>
  <c r="AC30" i="3"/>
  <c r="AC10" i="3" s="1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B11" i="3"/>
  <c r="F11" i="3" s="1"/>
  <c r="J11" i="3" s="1"/>
  <c r="N11" i="3" s="1"/>
  <c r="R11" i="3" s="1"/>
  <c r="V11" i="3" s="1"/>
  <c r="Z11" i="3" s="1"/>
  <c r="E10" i="3"/>
  <c r="F8" i="3"/>
  <c r="F7" i="3"/>
  <c r="F6" i="3"/>
  <c r="F5" i="3"/>
  <c r="F4" i="3"/>
  <c r="F8" i="2"/>
  <c r="F7" i="2"/>
  <c r="F6" i="2"/>
  <c r="F5" i="2"/>
  <c r="F4" i="2"/>
  <c r="C30" i="2"/>
  <c r="E30" i="2"/>
  <c r="G30" i="2"/>
  <c r="I30" i="2"/>
  <c r="I10" i="2" s="1"/>
  <c r="K30" i="2"/>
  <c r="M30" i="2"/>
  <c r="O30" i="2"/>
  <c r="Q30" i="2"/>
  <c r="S30" i="2"/>
  <c r="U30" i="2"/>
  <c r="W30" i="2"/>
  <c r="Y30" i="2"/>
  <c r="Y10" i="2" s="1"/>
  <c r="AA30" i="2"/>
  <c r="AC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3" i="2"/>
  <c r="AD14" i="2"/>
  <c r="M10" i="2"/>
  <c r="Q10" i="2"/>
  <c r="U10" i="2"/>
  <c r="AC10" i="2"/>
  <c r="B11" i="2"/>
  <c r="F11" i="2" s="1"/>
  <c r="J11" i="2" s="1"/>
  <c r="N11" i="2" s="1"/>
  <c r="R11" i="2" s="1"/>
  <c r="V11" i="2" s="1"/>
  <c r="Z11" i="2" s="1"/>
  <c r="AD30" i="9" l="1"/>
  <c r="AD30" i="8"/>
  <c r="AD30" i="7"/>
  <c r="AD30" i="6"/>
  <c r="I10" i="6"/>
  <c r="G3" i="6" s="1"/>
  <c r="M10" i="4"/>
  <c r="U10" i="3"/>
  <c r="G3" i="3" s="1"/>
  <c r="AD30" i="4"/>
  <c r="I10" i="4"/>
  <c r="Y10" i="5"/>
  <c r="AD30" i="5"/>
  <c r="I10" i="5"/>
  <c r="Y10" i="11"/>
  <c r="AD30" i="11"/>
  <c r="U10" i="11"/>
  <c r="AD30" i="3"/>
  <c r="E10" i="2"/>
  <c r="G3" i="2"/>
  <c r="G3" i="10"/>
  <c r="G3" i="11"/>
  <c r="G3" i="7"/>
  <c r="G3" i="9"/>
  <c r="AD30" i="2"/>
  <c r="G3" i="5" l="1"/>
</calcChain>
</file>

<file path=xl/sharedStrings.xml><?xml version="1.0" encoding="utf-8"?>
<sst xmlns="http://schemas.openxmlformats.org/spreadsheetml/2006/main" count="589" uniqueCount="87">
  <si>
    <t>Responsable</t>
  </si>
  <si>
    <t>Activité (livrable associé)</t>
  </si>
  <si>
    <t>dernière mise à jour</t>
  </si>
  <si>
    <t>retard ?
(O/N)</t>
  </si>
  <si>
    <t>Acteurs</t>
  </si>
  <si>
    <t>semaine n°</t>
  </si>
  <si>
    <t>date début</t>
  </si>
  <si>
    <t>du projet</t>
  </si>
  <si>
    <t>Mercredi matin</t>
  </si>
  <si>
    <t>Mercredi après-midi</t>
  </si>
  <si>
    <t>Vendredi matin</t>
  </si>
  <si>
    <t>Vendredi après-midi</t>
  </si>
  <si>
    <t>Samedi matin</t>
  </si>
  <si>
    <t>Samedi après-midi</t>
  </si>
  <si>
    <t>Dimanche matin</t>
  </si>
  <si>
    <t>Dimanche après-midi</t>
  </si>
  <si>
    <t>h</t>
  </si>
  <si>
    <t>Charge réalisée (h)</t>
  </si>
  <si>
    <t>taches</t>
  </si>
  <si>
    <t>estim. 
avancement</t>
  </si>
  <si>
    <t>Nombre d'heures travaillées dans la semaine</t>
  </si>
  <si>
    <t>Liste des membres de l'équipe</t>
  </si>
  <si>
    <t>Total</t>
  </si>
  <si>
    <t>heures travaillées</t>
  </si>
  <si>
    <t>nb h par jour</t>
  </si>
  <si>
    <t>Lundi</t>
  </si>
  <si>
    <t>Mardi</t>
  </si>
  <si>
    <t>Mercredi</t>
  </si>
  <si>
    <t>Jeudi</t>
  </si>
  <si>
    <t>Vendredi</t>
  </si>
  <si>
    <t>Samedi</t>
  </si>
  <si>
    <t>Dimanche</t>
  </si>
  <si>
    <t>Projet modèle</t>
  </si>
  <si>
    <t>Lundi 
matin</t>
  </si>
  <si>
    <t>Lundi 
après-midi</t>
  </si>
  <si>
    <t>Mardi 
matin</t>
  </si>
  <si>
    <t>Mardi 
après-midi</t>
  </si>
  <si>
    <t>Jeudi 
matin</t>
  </si>
  <si>
    <t>Jeudi 
après-midi</t>
  </si>
  <si>
    <t>Date de fin au plus tard</t>
  </si>
  <si>
    <t>Charge de travail estimée (h)</t>
  </si>
  <si>
    <t>Consolider les objectifs</t>
  </si>
  <si>
    <t>L'équipe</t>
  </si>
  <si>
    <t>N</t>
  </si>
  <si>
    <t>Finaliser le document de cadrage</t>
  </si>
  <si>
    <t>Shawez</t>
  </si>
  <si>
    <t>Finaliser le document de cadrage (doc cadrage)</t>
  </si>
  <si>
    <t>Rédiger le plan de projet</t>
  </si>
  <si>
    <t>Abdoulaye</t>
  </si>
  <si>
    <t>Rédiger le plan de projet (PDP)</t>
  </si>
  <si>
    <t>Gérer les ressources</t>
  </si>
  <si>
    <t>Adrien</t>
  </si>
  <si>
    <t>Etablir la répartition des ressources et leur disponibilité (ToDO list)</t>
  </si>
  <si>
    <t>Organiser réunion lancement</t>
  </si>
  <si>
    <t>Organiser réunion lancement de projet/Expression CDC (CR réunion)</t>
  </si>
  <si>
    <t>Organiser réunion de validation</t>
  </si>
  <si>
    <t>Nadir</t>
  </si>
  <si>
    <t>Organiser réunion de validation du besoin/CDC (CR réunion)</t>
  </si>
  <si>
    <t>Organiser présentation finale</t>
  </si>
  <si>
    <t>Organiser présentation version finale (powerpoint)</t>
  </si>
  <si>
    <t>Exploitation des fichiers de vent</t>
  </si>
  <si>
    <t>Création du graphe des aérodromes</t>
  </si>
  <si>
    <t>Rédiger CR final</t>
  </si>
  <si>
    <t>Rédiger le CR final</t>
  </si>
  <si>
    <t>Préparer le support de la soutenance</t>
  </si>
  <si>
    <t>Répéter la soutenance</t>
  </si>
  <si>
    <t>Effectuer la soutenance</t>
  </si>
  <si>
    <t>Cartographier les aérodromes(coordonnés,distance)</t>
  </si>
  <si>
    <t>Comprendre et implémenter l'algorithme de  A*</t>
  </si>
  <si>
    <t>Organiser en module le travail effectué</t>
  </si>
  <si>
    <t>Création d'une version intermédiare du programme</t>
  </si>
  <si>
    <t>Discussion concernant l'interface graphique et comment la mettre en place</t>
  </si>
  <si>
    <t>Reunion avec le référent concernant l'avancement.</t>
  </si>
  <si>
    <t xml:space="preserve">Implémenter l'interface graphique </t>
  </si>
  <si>
    <t>Optimisation du programme ainsi que l'interface graphique</t>
  </si>
  <si>
    <t xml:space="preserve">Création de la version finale du programme </t>
  </si>
  <si>
    <t>Reunion finale avec le référent</t>
  </si>
  <si>
    <t xml:space="preserve">Priorité (1-4) avec 4 le plus important </t>
  </si>
  <si>
    <t>Création d'une version intermédiare de l'application</t>
  </si>
  <si>
    <t>Création de la version finale de l'application</t>
  </si>
  <si>
    <t>Création d'une version intermédiare du programme( avec détermination de l'impact du vent)</t>
  </si>
  <si>
    <t>Comprendre l'algorithme de  A*</t>
  </si>
  <si>
    <t>Implémenter l'algorithme de A*</t>
  </si>
  <si>
    <t>Modifier l'interface graphique pour pouvoir sélectionner les différents fichiers</t>
  </si>
  <si>
    <t>comparer trajectoires à altitude constante et trajectoires à altitude variable</t>
  </si>
  <si>
    <t>mise à jour de la ToDoList et évaluation des risques</t>
  </si>
  <si>
    <t>Relecture du programme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</si>
</sst>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 AM/PM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 applyAlignment="1">
      <alignment wrapText="1"/>
    </xf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wrapText="1"/>
    </xf>
    <xf numFmtId="14" fontId="1" fillId="2" borderId="1" xfId="0" applyNumberFormat="1" applyFont="1" applyFill="1" applyBorder="1" applyAlignment="1">
      <alignment wrapText="1"/>
    </xf>
    <xf numFmtId="0" fontId="1" fillId="2" borderId="1" xfId="0" applyFont="1" applyFill="1" applyBorder="1" applyAlignment="1">
      <alignment wrapText="1"/>
    </xf>
    <xf numFmtId="0" fontId="2" fillId="0" borderId="0" xfId="0" applyFont="1"/>
    <xf numFmtId="14" fontId="1" fillId="2" borderId="2" xfId="0" applyNumberFormat="1" applyFont="1" applyFill="1" applyBorder="1" applyAlignment="1">
      <alignment wrapText="1"/>
    </xf>
    <xf numFmtId="14" fontId="1" fillId="2" borderId="3" xfId="0" applyNumberFormat="1" applyFont="1" applyFill="1" applyBorder="1" applyAlignment="1">
      <alignment wrapText="1"/>
    </xf>
    <xf numFmtId="0" fontId="0" fillId="0" borderId="0" xfId="0" applyFont="1" applyAlignment="1">
      <alignment wrapText="1"/>
    </xf>
    <xf numFmtId="0" fontId="0" fillId="0" borderId="4" xfId="0" applyBorder="1" applyAlignment="1">
      <alignment wrapText="1"/>
    </xf>
    <xf numFmtId="0" fontId="0" fillId="2" borderId="5" xfId="0" applyFill="1" applyBorder="1" applyAlignment="1">
      <alignment wrapText="1"/>
    </xf>
    <xf numFmtId="14" fontId="1" fillId="2" borderId="6" xfId="0" applyNumberFormat="1" applyFont="1" applyFill="1" applyBorder="1" applyAlignment="1">
      <alignment wrapText="1"/>
    </xf>
    <xf numFmtId="0" fontId="1" fillId="2" borderId="7" xfId="0" applyFont="1" applyFill="1" applyBorder="1" applyAlignment="1">
      <alignment wrapText="1"/>
    </xf>
    <xf numFmtId="0" fontId="3" fillId="0" borderId="8" xfId="0" applyFont="1" applyBorder="1" applyAlignment="1">
      <alignment wrapText="1"/>
    </xf>
    <xf numFmtId="14" fontId="1" fillId="2" borderId="7" xfId="0" applyNumberFormat="1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3" fillId="0" borderId="10" xfId="0" applyFont="1" applyBorder="1" applyAlignment="1">
      <alignment wrapText="1"/>
    </xf>
    <xf numFmtId="14" fontId="1" fillId="2" borderId="11" xfId="0" applyNumberFormat="1" applyFont="1" applyFill="1" applyBorder="1" applyAlignment="1">
      <alignment wrapText="1"/>
    </xf>
    <xf numFmtId="0" fontId="4" fillId="0" borderId="11" xfId="0" applyFont="1" applyBorder="1" applyAlignment="1">
      <alignment wrapText="1"/>
    </xf>
    <xf numFmtId="0" fontId="4" fillId="0" borderId="12" xfId="0" applyFont="1" applyBorder="1" applyAlignment="1">
      <alignment wrapText="1"/>
    </xf>
    <xf numFmtId="0" fontId="1" fillId="3" borderId="13" xfId="0" applyFont="1" applyFill="1" applyBorder="1" applyAlignment="1">
      <alignment horizontal="center" wrapText="1"/>
    </xf>
    <xf numFmtId="0" fontId="1" fillId="3" borderId="14" xfId="0" applyFont="1" applyFill="1" applyBorder="1" applyAlignment="1">
      <alignment horizontal="center" wrapText="1"/>
    </xf>
    <xf numFmtId="0" fontId="1" fillId="3" borderId="14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 wrapText="1"/>
    </xf>
    <xf numFmtId="0" fontId="0" fillId="0" borderId="15" xfId="0" applyBorder="1" applyAlignment="1">
      <alignment wrapText="1"/>
    </xf>
    <xf numFmtId="0" fontId="1" fillId="4" borderId="16" xfId="0" applyFont="1" applyFill="1" applyBorder="1" applyAlignment="1">
      <alignment wrapText="1"/>
    </xf>
    <xf numFmtId="0" fontId="0" fillId="4" borderId="17" xfId="0" applyFill="1" applyBorder="1" applyAlignment="1">
      <alignment wrapText="1"/>
    </xf>
    <xf numFmtId="0" fontId="1" fillId="4" borderId="18" xfId="0" applyFont="1" applyFill="1" applyBorder="1" applyAlignment="1">
      <alignment wrapText="1"/>
    </xf>
    <xf numFmtId="0" fontId="1" fillId="4" borderId="19" xfId="0" applyFont="1" applyFill="1" applyBorder="1" applyAlignment="1">
      <alignment wrapText="1"/>
    </xf>
    <xf numFmtId="0" fontId="0" fillId="4" borderId="0" xfId="0" applyFill="1" applyBorder="1" applyAlignment="1">
      <alignment wrapText="1"/>
    </xf>
    <xf numFmtId="0" fontId="1" fillId="4" borderId="20" xfId="0" applyFont="1" applyFill="1" applyBorder="1" applyAlignment="1">
      <alignment wrapText="1"/>
    </xf>
    <xf numFmtId="0" fontId="0" fillId="4" borderId="21" xfId="0" applyFill="1" applyBorder="1" applyAlignment="1">
      <alignment wrapText="1"/>
    </xf>
    <xf numFmtId="0" fontId="1" fillId="4" borderId="22" xfId="0" applyFont="1" applyFill="1" applyBorder="1" applyAlignment="1">
      <alignment wrapText="1"/>
    </xf>
    <xf numFmtId="0" fontId="5" fillId="5" borderId="5" xfId="0" applyFont="1" applyFill="1" applyBorder="1" applyAlignment="1">
      <alignment wrapText="1"/>
    </xf>
    <xf numFmtId="164" fontId="5" fillId="5" borderId="6" xfId="0" applyNumberFormat="1" applyFont="1" applyFill="1" applyBorder="1" applyAlignment="1">
      <alignment wrapText="1"/>
    </xf>
    <xf numFmtId="164" fontId="5" fillId="5" borderId="1" xfId="0" applyNumberFormat="1" applyFont="1" applyFill="1" applyBorder="1" applyAlignment="1">
      <alignment wrapText="1"/>
    </xf>
    <xf numFmtId="164" fontId="5" fillId="5" borderId="7" xfId="0" applyNumberFormat="1" applyFont="1" applyFill="1" applyBorder="1" applyAlignment="1">
      <alignment wrapText="1"/>
    </xf>
    <xf numFmtId="164" fontId="5" fillId="5" borderId="2" xfId="0" applyNumberFormat="1" applyFont="1" applyFill="1" applyBorder="1" applyAlignment="1">
      <alignment wrapText="1"/>
    </xf>
    <xf numFmtId="164" fontId="5" fillId="5" borderId="3" xfId="0" applyNumberFormat="1" applyFont="1" applyFill="1" applyBorder="1" applyAlignment="1">
      <alignment wrapText="1"/>
    </xf>
    <xf numFmtId="164" fontId="5" fillId="5" borderId="11" xfId="0" applyNumberFormat="1" applyFont="1" applyFill="1" applyBorder="1" applyAlignment="1">
      <alignment wrapText="1"/>
    </xf>
    <xf numFmtId="0" fontId="6" fillId="4" borderId="23" xfId="0" applyFont="1" applyFill="1" applyBorder="1" applyAlignment="1">
      <alignment wrapText="1"/>
    </xf>
    <xf numFmtId="0" fontId="6" fillId="4" borderId="24" xfId="0" applyFont="1" applyFill="1" applyBorder="1" applyAlignment="1">
      <alignment horizontal="left" wrapText="1"/>
    </xf>
    <xf numFmtId="0" fontId="6" fillId="4" borderId="25" xfId="0" applyFont="1" applyFill="1" applyBorder="1" applyAlignment="1">
      <alignment wrapText="1"/>
    </xf>
    <xf numFmtId="0" fontId="1" fillId="6" borderId="0" xfId="0" applyFont="1" applyFill="1" applyAlignment="1">
      <alignment wrapText="1"/>
    </xf>
    <xf numFmtId="0" fontId="0" fillId="6" borderId="0" xfId="0" applyFill="1" applyAlignment="1">
      <alignment horizontal="center" wrapText="1"/>
    </xf>
    <xf numFmtId="0" fontId="0" fillId="6" borderId="0" xfId="0" applyFont="1" applyFill="1" applyAlignment="1">
      <alignment wrapText="1"/>
    </xf>
    <xf numFmtId="0" fontId="0" fillId="6" borderId="0" xfId="0" applyFill="1" applyAlignment="1">
      <alignment wrapText="1"/>
    </xf>
    <xf numFmtId="0" fontId="1" fillId="0" borderId="0" xfId="0" applyNumberFormat="1" applyFont="1" applyAlignment="1">
      <alignment wrapText="1"/>
    </xf>
    <xf numFmtId="0" fontId="0" fillId="0" borderId="6" xfId="0" applyBorder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14" fontId="0" fillId="0" borderId="1" xfId="0" applyNumberFormat="1" applyBorder="1" applyAlignment="1" applyProtection="1">
      <alignment wrapText="1"/>
      <protection locked="0"/>
    </xf>
    <xf numFmtId="0" fontId="7" fillId="0" borderId="1" xfId="0" applyFont="1" applyBorder="1" applyAlignment="1" applyProtection="1">
      <alignment wrapText="1"/>
      <protection locked="0"/>
    </xf>
    <xf numFmtId="0" fontId="7" fillId="0" borderId="1" xfId="0" applyFont="1" applyBorder="1" applyAlignment="1" applyProtection="1">
      <protection locked="0"/>
    </xf>
    <xf numFmtId="0" fontId="0" fillId="0" borderId="26" xfId="0" applyBorder="1" applyAlignment="1" applyProtection="1">
      <alignment wrapText="1"/>
      <protection locked="0"/>
    </xf>
    <xf numFmtId="0" fontId="0" fillId="0" borderId="15" xfId="0" applyBorder="1" applyAlignment="1" applyProtection="1">
      <alignment wrapText="1"/>
      <protection locked="0"/>
    </xf>
    <xf numFmtId="0" fontId="7" fillId="0" borderId="15" xfId="0" applyFont="1" applyBorder="1" applyAlignment="1" applyProtection="1">
      <protection locked="0"/>
    </xf>
    <xf numFmtId="9" fontId="0" fillId="0" borderId="1" xfId="0" applyNumberFormat="1" applyBorder="1" applyAlignment="1" applyProtection="1">
      <alignment wrapText="1"/>
      <protection locked="0"/>
    </xf>
    <xf numFmtId="14" fontId="0" fillId="0" borderId="7" xfId="0" applyNumberFormat="1" applyFont="1" applyBorder="1" applyAlignment="1" applyProtection="1">
      <alignment wrapText="1"/>
      <protection locked="0"/>
    </xf>
    <xf numFmtId="0" fontId="0" fillId="0" borderId="7" xfId="0" applyBorder="1" applyProtection="1">
      <protection locked="0"/>
    </xf>
    <xf numFmtId="9" fontId="0" fillId="0" borderId="15" xfId="0" applyNumberFormat="1" applyBorder="1" applyAlignment="1" applyProtection="1">
      <alignment wrapText="1"/>
      <protection locked="0"/>
    </xf>
    <xf numFmtId="0" fontId="0" fillId="0" borderId="27" xfId="0" applyBorder="1" applyProtection="1">
      <protection locked="0"/>
    </xf>
    <xf numFmtId="14" fontId="1" fillId="0" borderId="0" xfId="0" applyNumberFormat="1" applyFont="1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0" fillId="4" borderId="19" xfId="0" applyFont="1" applyFill="1" applyBorder="1" applyAlignment="1" applyProtection="1">
      <alignment wrapText="1"/>
      <protection locked="0"/>
    </xf>
    <xf numFmtId="0" fontId="0" fillId="4" borderId="28" xfId="0" applyFont="1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wrapText="1"/>
      <protection locked="0"/>
    </xf>
    <xf numFmtId="0" fontId="4" fillId="0" borderId="1" xfId="0" applyFont="1" applyBorder="1" applyAlignment="1" applyProtection="1">
      <alignment wrapText="1"/>
      <protection locked="0"/>
    </xf>
    <xf numFmtId="0" fontId="4" fillId="0" borderId="15" xfId="0" applyFont="1" applyBorder="1" applyAlignment="1" applyProtection="1">
      <alignment wrapText="1"/>
      <protection locked="0"/>
    </xf>
    <xf numFmtId="0" fontId="4" fillId="0" borderId="7" xfId="0" applyFont="1" applyBorder="1" applyAlignment="1" applyProtection="1">
      <alignment wrapText="1"/>
      <protection locked="0"/>
    </xf>
    <xf numFmtId="0" fontId="4" fillId="0" borderId="27" xfId="0" applyFont="1" applyBorder="1" applyAlignment="1" applyProtection="1">
      <alignment wrapText="1"/>
      <protection locked="0"/>
    </xf>
    <xf numFmtId="0" fontId="4" fillId="0" borderId="2" xfId="0" applyFont="1" applyBorder="1" applyAlignment="1" applyProtection="1">
      <alignment wrapText="1"/>
      <protection locked="0"/>
    </xf>
    <xf numFmtId="0" fontId="4" fillId="0" borderId="29" xfId="0" applyFont="1" applyBorder="1" applyAlignment="1" applyProtection="1">
      <alignment wrapText="1"/>
      <protection locked="0"/>
    </xf>
    <xf numFmtId="0" fontId="4" fillId="0" borderId="3" xfId="0" applyFont="1" applyBorder="1" applyAlignment="1" applyProtection="1">
      <alignment wrapText="1"/>
      <protection locked="0"/>
    </xf>
    <xf numFmtId="0" fontId="4" fillId="0" borderId="30" xfId="0" applyFont="1" applyBorder="1" applyAlignment="1" applyProtection="1">
      <alignment wrapText="1"/>
      <protection locked="0"/>
    </xf>
    <xf numFmtId="0" fontId="4" fillId="0" borderId="6" xfId="0" applyFont="1" applyBorder="1" applyAlignment="1" applyProtection="1">
      <alignment wrapText="1"/>
      <protection locked="0"/>
    </xf>
    <xf numFmtId="0" fontId="4" fillId="0" borderId="26" xfId="0" applyFont="1" applyBorder="1" applyAlignment="1" applyProtection="1">
      <alignment wrapText="1"/>
      <protection locked="0"/>
    </xf>
    <xf numFmtId="0" fontId="7" fillId="0" borderId="6" xfId="0" applyFont="1" applyBorder="1" applyAlignment="1" applyProtection="1">
      <alignment wrapText="1"/>
      <protection locked="0"/>
    </xf>
    <xf numFmtId="0" fontId="0" fillId="0" borderId="4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0" fillId="0" borderId="32" xfId="0" applyBorder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8" fillId="0" borderId="31" xfId="0" applyFont="1" applyBorder="1" applyAlignment="1">
      <alignment horizontal="center" wrapText="1"/>
    </xf>
    <xf numFmtId="0" fontId="8" fillId="0" borderId="32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2</xdr:row>
          <xdr:rowOff>9525</xdr:rowOff>
        </xdr:from>
        <xdr:to>
          <xdr:col>5</xdr:col>
          <xdr:colOff>1038225</xdr:colOff>
          <xdr:row>2</xdr:row>
          <xdr:rowOff>333375</xdr:rowOff>
        </xdr:to>
        <xdr:sp macro="" textlink="">
          <xdr:nvSpPr>
            <xdr:cNvPr id="1026" name="Bou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171450</xdr:rowOff>
        </xdr:from>
        <xdr:to>
          <xdr:col>11</xdr:col>
          <xdr:colOff>781050</xdr:colOff>
          <xdr:row>8</xdr:row>
          <xdr:rowOff>9525</xdr:rowOff>
        </xdr:to>
        <xdr:sp macro="" textlink="">
          <xdr:nvSpPr>
            <xdr:cNvPr id="2058" name="Bou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xmlns="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171450</xdr:rowOff>
        </xdr:from>
        <xdr:to>
          <xdr:col>11</xdr:col>
          <xdr:colOff>781050</xdr:colOff>
          <xdr:row>8</xdr:row>
          <xdr:rowOff>9525</xdr:rowOff>
        </xdr:to>
        <xdr:sp macro="" textlink="">
          <xdr:nvSpPr>
            <xdr:cNvPr id="3073" name="Bou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171450</xdr:rowOff>
        </xdr:from>
        <xdr:to>
          <xdr:col>11</xdr:col>
          <xdr:colOff>781050</xdr:colOff>
          <xdr:row>8</xdr:row>
          <xdr:rowOff>9525</xdr:rowOff>
        </xdr:to>
        <xdr:sp macro="" textlink="">
          <xdr:nvSpPr>
            <xdr:cNvPr id="4098" name="Bou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171450</xdr:rowOff>
        </xdr:from>
        <xdr:to>
          <xdr:col>11</xdr:col>
          <xdr:colOff>781050</xdr:colOff>
          <xdr:row>8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171450</xdr:rowOff>
        </xdr:from>
        <xdr:to>
          <xdr:col>11</xdr:col>
          <xdr:colOff>781050</xdr:colOff>
          <xdr:row>8</xdr:row>
          <xdr:rowOff>9525</xdr:rowOff>
        </xdr:to>
        <xdr:sp macro="" textlink="">
          <xdr:nvSpPr>
            <xdr:cNvPr id="6146" name="Bou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xmlns="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171450</xdr:rowOff>
        </xdr:from>
        <xdr:to>
          <xdr:col>11</xdr:col>
          <xdr:colOff>781050</xdr:colOff>
          <xdr:row>8</xdr:row>
          <xdr:rowOff>9525</xdr:rowOff>
        </xdr:to>
        <xdr:sp macro="" textlink="">
          <xdr:nvSpPr>
            <xdr:cNvPr id="7169" name="Bou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171450</xdr:rowOff>
        </xdr:from>
        <xdr:to>
          <xdr:col>11</xdr:col>
          <xdr:colOff>781050</xdr:colOff>
          <xdr:row>8</xdr:row>
          <xdr:rowOff>9525</xdr:rowOff>
        </xdr:to>
        <xdr:sp macro="" textlink="">
          <xdr:nvSpPr>
            <xdr:cNvPr id="8193" name="Bou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171450</xdr:rowOff>
        </xdr:from>
        <xdr:to>
          <xdr:col>11</xdr:col>
          <xdr:colOff>781050</xdr:colOff>
          <xdr:row>8</xdr:row>
          <xdr:rowOff>9525</xdr:rowOff>
        </xdr:to>
        <xdr:sp macro="" textlink="">
          <xdr:nvSpPr>
            <xdr:cNvPr id="9217" name="Bou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171450</xdr:rowOff>
        </xdr:from>
        <xdr:to>
          <xdr:col>11</xdr:col>
          <xdr:colOff>781050</xdr:colOff>
          <xdr:row>8</xdr:row>
          <xdr:rowOff>9525</xdr:rowOff>
        </xdr:to>
        <xdr:sp macro="" textlink="">
          <xdr:nvSpPr>
            <xdr:cNvPr id="10242" name="Bou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171450</xdr:rowOff>
        </xdr:from>
        <xdr:to>
          <xdr:col>11</xdr:col>
          <xdr:colOff>781050</xdr:colOff>
          <xdr:row>8</xdr:row>
          <xdr:rowOff>9525</xdr:rowOff>
        </xdr:to>
        <xdr:sp macro="" textlink="">
          <xdr:nvSpPr>
            <xdr:cNvPr id="11266" name="Bou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50"/>
  <sheetViews>
    <sheetView tabSelected="1" topLeftCell="A33" zoomScale="130" zoomScaleNormal="130" workbookViewId="0">
      <selection activeCell="H18" sqref="H18"/>
    </sheetView>
  </sheetViews>
  <sheetFormatPr baseColWidth="10" defaultRowHeight="15" x14ac:dyDescent="0.25"/>
  <cols>
    <col min="1" max="1" width="32.28515625" style="1" customWidth="1"/>
    <col min="2" max="2" width="8" style="1" customWidth="1"/>
    <col min="3" max="3" width="13.140625" style="1" customWidth="1"/>
    <col min="4" max="4" width="11.5703125" style="1"/>
    <col min="5" max="5" width="11.42578125" style="1" customWidth="1"/>
    <col min="6" max="6" width="33.28515625" style="1" customWidth="1"/>
    <col min="7" max="7" width="6.28515625" style="2" customWidth="1"/>
    <col min="8" max="8" width="7.7109375" style="1" customWidth="1"/>
    <col min="9" max="9" width="8.85546875" style="1" customWidth="1"/>
    <col min="10" max="10" width="11.5703125" style="1"/>
  </cols>
  <sheetData>
    <row r="1" spans="1:10" x14ac:dyDescent="0.25">
      <c r="A1" s="65" t="s">
        <v>32</v>
      </c>
      <c r="C1" s="4" t="s">
        <v>6</v>
      </c>
      <c r="D1" s="64">
        <v>43055</v>
      </c>
      <c r="E1" s="2"/>
    </row>
    <row r="2" spans="1:10" ht="15.75" thickBot="1" x14ac:dyDescent="0.3">
      <c r="A2" s="4"/>
      <c r="C2" s="4"/>
      <c r="D2" s="5"/>
      <c r="E2" s="2"/>
    </row>
    <row r="3" spans="1:10" ht="30" x14ac:dyDescent="0.25">
      <c r="A3" s="28" t="s">
        <v>21</v>
      </c>
      <c r="B3" s="29"/>
      <c r="C3" s="30" t="s">
        <v>23</v>
      </c>
      <c r="D3" s="5"/>
      <c r="E3" s="2"/>
    </row>
    <row r="4" spans="1:10" x14ac:dyDescent="0.25">
      <c r="A4" s="31"/>
      <c r="B4" s="32"/>
      <c r="C4" s="33"/>
      <c r="D4" s="50"/>
      <c r="E4" s="2"/>
    </row>
    <row r="5" spans="1:10" x14ac:dyDescent="0.25">
      <c r="A5" s="66" t="s">
        <v>51</v>
      </c>
      <c r="B5" s="32"/>
      <c r="C5" s="33">
        <v>6</v>
      </c>
      <c r="D5" s="5"/>
      <c r="E5" s="2"/>
    </row>
    <row r="6" spans="1:10" x14ac:dyDescent="0.25">
      <c r="A6" s="66" t="s">
        <v>48</v>
      </c>
      <c r="B6" s="32"/>
      <c r="C6" s="33">
        <v>9</v>
      </c>
      <c r="D6" s="5"/>
      <c r="E6" s="2"/>
    </row>
    <row r="7" spans="1:10" x14ac:dyDescent="0.25">
      <c r="A7" s="66" t="s">
        <v>45</v>
      </c>
      <c r="B7" s="32"/>
      <c r="C7" s="33">
        <v>6</v>
      </c>
      <c r="D7" s="5"/>
      <c r="E7" s="2"/>
    </row>
    <row r="8" spans="1:10" x14ac:dyDescent="0.25">
      <c r="A8" s="66" t="s">
        <v>56</v>
      </c>
      <c r="B8" s="32"/>
      <c r="C8" s="33">
        <v>7</v>
      </c>
      <c r="D8" s="5"/>
      <c r="E8" s="2"/>
    </row>
    <row r="9" spans="1:10" ht="15.75" thickBot="1" x14ac:dyDescent="0.3">
      <c r="A9" s="67" t="s">
        <v>42</v>
      </c>
      <c r="B9" s="34"/>
      <c r="C9" s="35">
        <v>53</v>
      </c>
      <c r="D9" s="5"/>
      <c r="E9" s="2"/>
    </row>
    <row r="10" spans="1:10" x14ac:dyDescent="0.25">
      <c r="A10" s="11"/>
      <c r="C10" s="4">
        <v>0</v>
      </c>
      <c r="D10" s="5"/>
      <c r="E10" s="2"/>
    </row>
    <row r="11" spans="1:10" x14ac:dyDescent="0.25">
      <c r="A11" s="4"/>
      <c r="C11" s="4"/>
      <c r="D11" s="5"/>
      <c r="E11" s="2"/>
    </row>
    <row r="12" spans="1:10" ht="15.75" thickBot="1" x14ac:dyDescent="0.3">
      <c r="A12" s="4" t="s">
        <v>18</v>
      </c>
    </row>
    <row r="13" spans="1:10" ht="90" x14ac:dyDescent="0.25">
      <c r="A13" s="23"/>
      <c r="B13" s="24" t="s">
        <v>77</v>
      </c>
      <c r="C13" s="24" t="s">
        <v>0</v>
      </c>
      <c r="D13" s="24" t="s">
        <v>39</v>
      </c>
      <c r="E13" s="24" t="s">
        <v>40</v>
      </c>
      <c r="F13" s="25" t="s">
        <v>1</v>
      </c>
      <c r="G13" s="24" t="s">
        <v>3</v>
      </c>
      <c r="H13" s="24" t="s">
        <v>17</v>
      </c>
      <c r="I13" s="24" t="s">
        <v>19</v>
      </c>
      <c r="J13" s="26" t="s">
        <v>2</v>
      </c>
    </row>
    <row r="14" spans="1:10" x14ac:dyDescent="0.25">
      <c r="A14" s="79" t="s">
        <v>41</v>
      </c>
      <c r="B14" s="52">
        <v>1</v>
      </c>
      <c r="C14" s="52" t="s">
        <v>42</v>
      </c>
      <c r="D14" s="53">
        <v>43062</v>
      </c>
      <c r="E14" s="52">
        <v>2</v>
      </c>
      <c r="F14" s="54" t="s">
        <v>41</v>
      </c>
      <c r="G14" s="52" t="s">
        <v>43</v>
      </c>
      <c r="H14" s="52">
        <v>2</v>
      </c>
      <c r="I14" s="59">
        <v>1</v>
      </c>
      <c r="J14" s="60">
        <v>43083</v>
      </c>
    </row>
    <row r="15" spans="1:10" ht="24.75" x14ac:dyDescent="0.25">
      <c r="A15" s="79" t="s">
        <v>44</v>
      </c>
      <c r="B15" s="52">
        <v>2</v>
      </c>
      <c r="C15" s="52" t="s">
        <v>42</v>
      </c>
      <c r="D15" s="53">
        <v>43070</v>
      </c>
      <c r="E15" s="52">
        <v>1</v>
      </c>
      <c r="F15" s="54" t="s">
        <v>46</v>
      </c>
      <c r="G15" s="52" t="s">
        <v>43</v>
      </c>
      <c r="H15" s="52">
        <v>1</v>
      </c>
      <c r="I15" s="59">
        <v>1</v>
      </c>
      <c r="J15" s="60">
        <v>43083</v>
      </c>
    </row>
    <row r="16" spans="1:10" x14ac:dyDescent="0.25">
      <c r="A16" s="79" t="s">
        <v>47</v>
      </c>
      <c r="B16" s="52">
        <v>2</v>
      </c>
      <c r="C16" s="52" t="s">
        <v>42</v>
      </c>
      <c r="D16" s="53">
        <v>43084</v>
      </c>
      <c r="E16" s="52">
        <v>1</v>
      </c>
      <c r="F16" s="54" t="s">
        <v>49</v>
      </c>
      <c r="G16" s="52" t="s">
        <v>43</v>
      </c>
      <c r="H16" s="52">
        <v>1</v>
      </c>
      <c r="I16" s="59">
        <v>1</v>
      </c>
      <c r="J16" s="60">
        <v>43083</v>
      </c>
    </row>
    <row r="17" spans="1:10" ht="24.75" x14ac:dyDescent="0.25">
      <c r="A17" s="79" t="s">
        <v>50</v>
      </c>
      <c r="B17" s="52">
        <v>1</v>
      </c>
      <c r="C17" s="52" t="s">
        <v>51</v>
      </c>
      <c r="D17" s="53">
        <v>43066</v>
      </c>
      <c r="E17" s="52">
        <v>1</v>
      </c>
      <c r="F17" s="54" t="s">
        <v>52</v>
      </c>
      <c r="G17" s="52" t="s">
        <v>43</v>
      </c>
      <c r="H17" s="52">
        <v>2</v>
      </c>
      <c r="I17" s="59">
        <v>1</v>
      </c>
      <c r="J17" s="60">
        <v>43083</v>
      </c>
    </row>
    <row r="18" spans="1:10" ht="24.75" x14ac:dyDescent="0.25">
      <c r="A18" s="79" t="s">
        <v>53</v>
      </c>
      <c r="B18" s="52">
        <v>2</v>
      </c>
      <c r="C18" s="52" t="s">
        <v>42</v>
      </c>
      <c r="D18" s="53">
        <v>43091</v>
      </c>
      <c r="E18" s="52">
        <v>1</v>
      </c>
      <c r="F18" s="54" t="s">
        <v>54</v>
      </c>
      <c r="G18" s="52" t="s">
        <v>43</v>
      </c>
      <c r="H18" s="52">
        <v>1</v>
      </c>
      <c r="I18" s="59">
        <v>1</v>
      </c>
      <c r="J18" s="60">
        <v>43083</v>
      </c>
    </row>
    <row r="19" spans="1:10" ht="24.75" x14ac:dyDescent="0.25">
      <c r="A19" s="79" t="s">
        <v>55</v>
      </c>
      <c r="B19" s="52">
        <v>2</v>
      </c>
      <c r="C19" s="52" t="s">
        <v>42</v>
      </c>
      <c r="D19" s="53">
        <v>43092</v>
      </c>
      <c r="E19" s="52">
        <v>1</v>
      </c>
      <c r="F19" s="54" t="s">
        <v>57</v>
      </c>
      <c r="G19" s="52" t="s">
        <v>43</v>
      </c>
      <c r="H19" s="52">
        <v>1</v>
      </c>
      <c r="I19" s="59">
        <v>1</v>
      </c>
      <c r="J19" s="60">
        <v>43083</v>
      </c>
    </row>
    <row r="20" spans="1:10" x14ac:dyDescent="0.25">
      <c r="A20" s="79" t="s">
        <v>58</v>
      </c>
      <c r="B20" s="52">
        <v>2</v>
      </c>
      <c r="C20" s="52" t="s">
        <v>42</v>
      </c>
      <c r="D20" s="53">
        <v>43122</v>
      </c>
      <c r="E20" s="52">
        <v>2</v>
      </c>
      <c r="F20" s="55" t="s">
        <v>59</v>
      </c>
      <c r="G20" s="52" t="s">
        <v>43</v>
      </c>
      <c r="H20" s="3">
        <v>0</v>
      </c>
      <c r="I20" s="59">
        <v>0</v>
      </c>
      <c r="J20" s="60">
        <v>43083</v>
      </c>
    </row>
    <row r="21" spans="1:10" x14ac:dyDescent="0.25">
      <c r="A21" s="79" t="s">
        <v>60</v>
      </c>
      <c r="B21" s="52">
        <v>2</v>
      </c>
      <c r="C21" s="52" t="s">
        <v>51</v>
      </c>
      <c r="D21" s="53">
        <v>43066</v>
      </c>
      <c r="E21" s="52">
        <v>3</v>
      </c>
      <c r="F21" s="79" t="s">
        <v>60</v>
      </c>
      <c r="G21" s="52" t="s">
        <v>43</v>
      </c>
      <c r="H21" s="52">
        <v>4</v>
      </c>
      <c r="I21" s="59">
        <v>1</v>
      </c>
      <c r="J21" s="60">
        <v>43083</v>
      </c>
    </row>
    <row r="22" spans="1:10" x14ac:dyDescent="0.25">
      <c r="A22" s="79" t="s">
        <v>61</v>
      </c>
      <c r="B22" s="52">
        <v>2</v>
      </c>
      <c r="C22" s="52" t="s">
        <v>56</v>
      </c>
      <c r="D22" s="53">
        <v>43066</v>
      </c>
      <c r="E22" s="52">
        <v>3</v>
      </c>
      <c r="F22" s="79" t="s">
        <v>61</v>
      </c>
      <c r="G22" s="52" t="s">
        <v>43</v>
      </c>
      <c r="H22" s="52">
        <v>3</v>
      </c>
      <c r="I22" s="59">
        <v>1</v>
      </c>
      <c r="J22" s="60">
        <v>43083</v>
      </c>
    </row>
    <row r="23" spans="1:10" ht="24.75" x14ac:dyDescent="0.25">
      <c r="A23" s="79" t="s">
        <v>67</v>
      </c>
      <c r="B23" s="52">
        <v>2</v>
      </c>
      <c r="C23" s="52" t="s">
        <v>48</v>
      </c>
      <c r="D23" s="53">
        <v>43066</v>
      </c>
      <c r="E23" s="52">
        <v>3</v>
      </c>
      <c r="F23" s="79" t="s">
        <v>67</v>
      </c>
      <c r="G23" s="52" t="s">
        <v>43</v>
      </c>
      <c r="H23" s="52">
        <v>3</v>
      </c>
      <c r="I23" s="59">
        <v>1</v>
      </c>
      <c r="J23" s="60">
        <v>43083</v>
      </c>
    </row>
    <row r="24" spans="1:10" ht="24.75" x14ac:dyDescent="0.25">
      <c r="A24" s="79" t="s">
        <v>68</v>
      </c>
      <c r="B24" s="52">
        <v>2</v>
      </c>
      <c r="C24" s="52" t="s">
        <v>45</v>
      </c>
      <c r="D24" s="53">
        <v>43066</v>
      </c>
      <c r="E24" s="52">
        <v>4</v>
      </c>
      <c r="F24" s="79" t="s">
        <v>81</v>
      </c>
      <c r="G24" s="52" t="s">
        <v>43</v>
      </c>
      <c r="H24" s="52">
        <v>0</v>
      </c>
      <c r="I24" s="59">
        <v>1</v>
      </c>
      <c r="J24" s="60">
        <v>43083</v>
      </c>
    </row>
    <row r="25" spans="1:10" x14ac:dyDescent="0.25">
      <c r="A25" s="79" t="s">
        <v>69</v>
      </c>
      <c r="B25" s="52">
        <v>2</v>
      </c>
      <c r="C25" s="52" t="s">
        <v>42</v>
      </c>
      <c r="D25" s="53">
        <v>43068</v>
      </c>
      <c r="E25" s="52">
        <v>2</v>
      </c>
      <c r="F25" s="79" t="s">
        <v>69</v>
      </c>
      <c r="G25" s="52" t="s">
        <v>43</v>
      </c>
      <c r="H25" s="52">
        <v>2</v>
      </c>
      <c r="I25" s="59">
        <v>1</v>
      </c>
      <c r="J25" s="60">
        <v>43083</v>
      </c>
    </row>
    <row r="26" spans="1:10" ht="36.75" x14ac:dyDescent="0.25">
      <c r="A26" s="79" t="s">
        <v>80</v>
      </c>
      <c r="B26" s="52">
        <v>3</v>
      </c>
      <c r="C26" s="52" t="s">
        <v>42</v>
      </c>
      <c r="D26" s="53">
        <v>43068</v>
      </c>
      <c r="E26" s="52">
        <v>6</v>
      </c>
      <c r="F26" s="79" t="s">
        <v>70</v>
      </c>
      <c r="G26" s="52" t="s">
        <v>43</v>
      </c>
      <c r="H26" s="52">
        <v>9</v>
      </c>
      <c r="I26" s="59">
        <v>1</v>
      </c>
      <c r="J26" s="60">
        <v>43083</v>
      </c>
    </row>
    <row r="27" spans="1:10" ht="36.75" x14ac:dyDescent="0.25">
      <c r="A27" s="79" t="s">
        <v>71</v>
      </c>
      <c r="B27" s="52">
        <v>1</v>
      </c>
      <c r="C27" s="52" t="s">
        <v>42</v>
      </c>
      <c r="D27" s="53">
        <v>43069</v>
      </c>
      <c r="E27" s="52">
        <v>1</v>
      </c>
      <c r="F27" s="79" t="s">
        <v>71</v>
      </c>
      <c r="G27" s="52" t="s">
        <v>43</v>
      </c>
      <c r="H27" s="52">
        <v>2</v>
      </c>
      <c r="I27" s="59">
        <v>1</v>
      </c>
      <c r="J27" s="60">
        <v>43083</v>
      </c>
    </row>
    <row r="28" spans="1:10" ht="24.75" x14ac:dyDescent="0.25">
      <c r="A28" s="79" t="s">
        <v>72</v>
      </c>
      <c r="B28" s="52">
        <v>2</v>
      </c>
      <c r="C28" s="52" t="s">
        <v>42</v>
      </c>
      <c r="D28" s="53">
        <v>43069</v>
      </c>
      <c r="E28" s="52">
        <v>1</v>
      </c>
      <c r="F28" s="79" t="s">
        <v>72</v>
      </c>
      <c r="G28" s="52" t="s">
        <v>43</v>
      </c>
      <c r="H28" s="52">
        <v>1</v>
      </c>
      <c r="I28" s="59">
        <v>1</v>
      </c>
      <c r="J28" s="60">
        <v>43083</v>
      </c>
    </row>
    <row r="29" spans="1:10" x14ac:dyDescent="0.25">
      <c r="A29" s="79" t="s">
        <v>73</v>
      </c>
      <c r="B29" s="52">
        <v>3</v>
      </c>
      <c r="C29" s="52" t="s">
        <v>42</v>
      </c>
      <c r="D29" s="53">
        <v>43077</v>
      </c>
      <c r="E29" s="52">
        <v>10</v>
      </c>
      <c r="F29" s="79" t="s">
        <v>73</v>
      </c>
      <c r="G29" s="52" t="s">
        <v>43</v>
      </c>
      <c r="H29" s="52">
        <v>14</v>
      </c>
      <c r="I29" s="59">
        <v>1</v>
      </c>
      <c r="J29" s="60">
        <v>43083</v>
      </c>
    </row>
    <row r="30" spans="1:10" ht="24.75" x14ac:dyDescent="0.25">
      <c r="A30" s="79" t="s">
        <v>78</v>
      </c>
      <c r="B30" s="52">
        <v>3</v>
      </c>
      <c r="C30" s="52" t="s">
        <v>42</v>
      </c>
      <c r="D30" s="53">
        <v>43079</v>
      </c>
      <c r="E30" s="52">
        <v>5</v>
      </c>
      <c r="F30" s="79" t="s">
        <v>78</v>
      </c>
      <c r="G30" s="52" t="s">
        <v>43</v>
      </c>
      <c r="H30" s="52">
        <v>6</v>
      </c>
      <c r="I30" s="59">
        <v>1</v>
      </c>
      <c r="J30" s="60">
        <v>43083</v>
      </c>
    </row>
    <row r="31" spans="1:10" ht="24.75" x14ac:dyDescent="0.25">
      <c r="A31" s="79" t="s">
        <v>74</v>
      </c>
      <c r="B31" s="52">
        <v>2</v>
      </c>
      <c r="C31" s="52" t="s">
        <v>42</v>
      </c>
      <c r="D31" s="53">
        <v>43081</v>
      </c>
      <c r="E31" s="52">
        <v>10</v>
      </c>
      <c r="F31" s="79" t="s">
        <v>74</v>
      </c>
      <c r="G31" s="52" t="s">
        <v>43</v>
      </c>
      <c r="H31" s="52">
        <v>8</v>
      </c>
      <c r="I31" s="59">
        <v>0.75</v>
      </c>
      <c r="J31" s="60">
        <v>43083</v>
      </c>
    </row>
    <row r="32" spans="1:10" ht="24.75" x14ac:dyDescent="0.25">
      <c r="A32" s="79" t="s">
        <v>79</v>
      </c>
      <c r="B32" s="52">
        <v>3</v>
      </c>
      <c r="C32" s="52" t="s">
        <v>42</v>
      </c>
      <c r="D32" s="53">
        <v>43110</v>
      </c>
      <c r="E32" s="52">
        <v>15</v>
      </c>
      <c r="F32" s="79" t="s">
        <v>75</v>
      </c>
      <c r="G32" s="52" t="s">
        <v>43</v>
      </c>
      <c r="H32" s="52">
        <v>0</v>
      </c>
      <c r="I32" s="59">
        <v>0</v>
      </c>
      <c r="J32" s="60">
        <v>43083</v>
      </c>
    </row>
    <row r="33" spans="1:10" x14ac:dyDescent="0.25">
      <c r="A33" s="79" t="s">
        <v>76</v>
      </c>
      <c r="B33" s="52">
        <v>2</v>
      </c>
      <c r="C33" s="52" t="s">
        <v>42</v>
      </c>
      <c r="D33" s="53">
        <v>43111</v>
      </c>
      <c r="E33" s="52">
        <v>1</v>
      </c>
      <c r="F33" s="79" t="s">
        <v>76</v>
      </c>
      <c r="G33" s="52" t="s">
        <v>43</v>
      </c>
      <c r="H33" s="52">
        <v>0</v>
      </c>
      <c r="I33" s="59">
        <v>0</v>
      </c>
      <c r="J33" s="60">
        <v>43083</v>
      </c>
    </row>
    <row r="34" spans="1:10" x14ac:dyDescent="0.25">
      <c r="A34" s="79" t="s">
        <v>62</v>
      </c>
      <c r="B34" s="52">
        <v>2</v>
      </c>
      <c r="C34" s="52" t="s">
        <v>42</v>
      </c>
      <c r="D34" s="53">
        <v>43122</v>
      </c>
      <c r="E34" s="52">
        <v>6</v>
      </c>
      <c r="F34" s="55" t="s">
        <v>63</v>
      </c>
      <c r="G34" s="52" t="s">
        <v>43</v>
      </c>
      <c r="H34" s="3">
        <v>0</v>
      </c>
      <c r="I34" s="59">
        <v>0</v>
      </c>
      <c r="J34" s="60">
        <v>43083</v>
      </c>
    </row>
    <row r="35" spans="1:10" x14ac:dyDescent="0.25">
      <c r="A35" s="79" t="s">
        <v>64</v>
      </c>
      <c r="B35" s="52">
        <v>2</v>
      </c>
      <c r="C35" s="52" t="s">
        <v>42</v>
      </c>
      <c r="D35" s="53">
        <v>43122</v>
      </c>
      <c r="E35" s="52">
        <v>6</v>
      </c>
      <c r="F35" s="55" t="s">
        <v>64</v>
      </c>
      <c r="G35" s="52" t="s">
        <v>43</v>
      </c>
      <c r="H35" s="3">
        <v>0</v>
      </c>
      <c r="I35" s="59">
        <v>0</v>
      </c>
      <c r="J35" s="60">
        <v>43083</v>
      </c>
    </row>
    <row r="36" spans="1:10" x14ac:dyDescent="0.25">
      <c r="A36" s="79" t="s">
        <v>65</v>
      </c>
      <c r="B36" s="52">
        <v>2</v>
      </c>
      <c r="C36" s="52" t="s">
        <v>42</v>
      </c>
      <c r="D36" s="53">
        <v>43122</v>
      </c>
      <c r="E36" s="52">
        <v>4</v>
      </c>
      <c r="F36" s="55" t="s">
        <v>65</v>
      </c>
      <c r="G36" s="52" t="s">
        <v>43</v>
      </c>
      <c r="H36" s="3">
        <v>0</v>
      </c>
      <c r="I36" s="59">
        <v>0</v>
      </c>
      <c r="J36" s="60">
        <v>43083</v>
      </c>
    </row>
    <row r="37" spans="1:10" x14ac:dyDescent="0.25">
      <c r="A37" s="79" t="s">
        <v>66</v>
      </c>
      <c r="B37" s="52">
        <v>1</v>
      </c>
      <c r="C37" s="52" t="s">
        <v>42</v>
      </c>
      <c r="D37" s="53">
        <v>43122</v>
      </c>
      <c r="E37" s="52">
        <v>2</v>
      </c>
      <c r="F37" s="55" t="s">
        <v>66</v>
      </c>
      <c r="G37" s="52" t="s">
        <v>43</v>
      </c>
      <c r="H37" s="3">
        <v>0</v>
      </c>
      <c r="I37" s="59">
        <v>0</v>
      </c>
      <c r="J37" s="60">
        <v>43083</v>
      </c>
    </row>
    <row r="38" spans="1:10" x14ac:dyDescent="0.25">
      <c r="A38" s="51"/>
      <c r="B38" s="52"/>
      <c r="C38" s="52"/>
      <c r="D38" s="52"/>
      <c r="E38" s="52"/>
      <c r="F38" s="55"/>
      <c r="G38" s="52"/>
      <c r="H38" s="3">
        <v>0</v>
      </c>
      <c r="I38" s="59"/>
      <c r="J38" s="61"/>
    </row>
    <row r="39" spans="1:10" ht="15.75" thickBot="1" x14ac:dyDescent="0.3">
      <c r="A39" s="56"/>
      <c r="B39" s="57"/>
      <c r="D39" s="57"/>
      <c r="E39" s="57"/>
      <c r="F39" s="58"/>
      <c r="G39" s="57"/>
      <c r="H39" s="27">
        <v>0</v>
      </c>
      <c r="I39" s="62"/>
      <c r="J39" s="63"/>
    </row>
    <row r="40" spans="1:10" x14ac:dyDescent="0.25">
      <c r="H40" s="1">
        <v>0</v>
      </c>
    </row>
    <row r="41" spans="1:10" x14ac:dyDescent="0.25">
      <c r="H41" s="1">
        <v>0</v>
      </c>
    </row>
    <row r="42" spans="1:10" x14ac:dyDescent="0.25">
      <c r="H42" s="1">
        <v>0</v>
      </c>
    </row>
    <row r="43" spans="1:10" x14ac:dyDescent="0.25">
      <c r="H43" s="1">
        <v>0</v>
      </c>
    </row>
    <row r="44" spans="1:10" x14ac:dyDescent="0.25">
      <c r="H44" s="1">
        <v>0</v>
      </c>
    </row>
    <row r="45" spans="1:10" x14ac:dyDescent="0.25">
      <c r="H45" s="1">
        <v>0</v>
      </c>
    </row>
    <row r="46" spans="1:10" x14ac:dyDescent="0.25">
      <c r="H46" s="1">
        <v>0</v>
      </c>
    </row>
    <row r="47" spans="1:10" x14ac:dyDescent="0.25">
      <c r="H47" s="1">
        <v>0</v>
      </c>
    </row>
    <row r="48" spans="1:10" x14ac:dyDescent="0.25">
      <c r="H48" s="1">
        <v>0</v>
      </c>
    </row>
    <row r="49" spans="8:8" x14ac:dyDescent="0.25">
      <c r="H49" s="1">
        <v>0</v>
      </c>
    </row>
    <row r="50" spans="8:8" x14ac:dyDescent="0.25">
      <c r="H50" s="1">
        <v>0</v>
      </c>
    </row>
  </sheetData>
  <sheetProtection sheet="1" objects="1" scenarios="1" selectLockedCells="1"/>
  <dataValidations count="1">
    <dataValidation type="list" allowBlank="1" showInputMessage="1" showErrorMessage="1" sqref="C14:C37">
      <formula1>equipe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outon 2">
              <controlPr defaultSize="0" print="0" autoFill="0" autoPict="0" macro="[0]!Recherche_tache">
                <anchor moveWithCells="1" sizeWithCells="1">
                  <from>
                    <xdr:col>5</xdr:col>
                    <xdr:colOff>57150</xdr:colOff>
                    <xdr:row>2</xdr:row>
                    <xdr:rowOff>9525</xdr:rowOff>
                  </from>
                  <to>
                    <xdr:col>5</xdr:col>
                    <xdr:colOff>1038225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D30"/>
  <sheetViews>
    <sheetView topLeftCell="G6" workbookViewId="0">
      <selection activeCell="D27" sqref="D27"/>
    </sheetView>
  </sheetViews>
  <sheetFormatPr baseColWidth="10" defaultRowHeight="15" x14ac:dyDescent="0.25"/>
  <cols>
    <col min="1" max="1" width="11.5703125" style="1"/>
    <col min="2" max="2" width="11.7109375" style="1" customWidth="1"/>
    <col min="3" max="3" width="3.85546875" style="1" customWidth="1"/>
    <col min="4" max="4" width="11.7109375" style="1" customWidth="1"/>
    <col min="5" max="5" width="3.85546875" style="1" customWidth="1"/>
    <col min="6" max="6" width="11.7109375" style="1" customWidth="1"/>
    <col min="7" max="7" width="3.85546875" style="1" customWidth="1"/>
    <col min="8" max="8" width="11.7109375" style="1" customWidth="1"/>
    <col min="9" max="9" width="3.85546875" style="1" customWidth="1"/>
    <col min="10" max="10" width="11.7109375" style="1" customWidth="1"/>
    <col min="11" max="11" width="3.85546875" style="1" customWidth="1"/>
    <col min="12" max="12" width="11.7109375" style="1" customWidth="1"/>
    <col min="13" max="13" width="3.85546875" style="1" customWidth="1"/>
    <col min="14" max="14" width="11.7109375" style="1" customWidth="1"/>
    <col min="15" max="15" width="3.85546875" style="1" customWidth="1"/>
    <col min="16" max="16" width="11.7109375" style="1" customWidth="1"/>
    <col min="17" max="17" width="3.85546875" style="1" customWidth="1"/>
    <col min="18" max="18" width="11.7109375" style="1" customWidth="1"/>
    <col min="19" max="19" width="3.85546875" style="1" customWidth="1"/>
    <col min="20" max="20" width="11.7109375" style="1" customWidth="1"/>
    <col min="21" max="21" width="3.85546875" style="1" customWidth="1"/>
    <col min="22" max="22" width="11.7109375" style="1" customWidth="1"/>
    <col min="23" max="23" width="3.85546875" style="1" customWidth="1"/>
    <col min="24" max="24" width="11.7109375" style="1" customWidth="1"/>
    <col min="25" max="25" width="3.85546875" style="1" customWidth="1"/>
    <col min="26" max="26" width="11.7109375" style="1" customWidth="1"/>
    <col min="27" max="27" width="3.85546875" style="1" customWidth="1"/>
    <col min="28" max="28" width="11.7109375" style="1" customWidth="1"/>
    <col min="29" max="29" width="3.85546875" style="1" customWidth="1"/>
    <col min="30" max="30" width="5.7109375" customWidth="1"/>
  </cols>
  <sheetData>
    <row r="1" spans="1:30" ht="15.75" thickBot="1" x14ac:dyDescent="0.3">
      <c r="B1" s="43" t="s">
        <v>5</v>
      </c>
      <c r="C1" s="44">
        <v>1</v>
      </c>
      <c r="D1" s="45" t="s">
        <v>7</v>
      </c>
    </row>
    <row r="3" spans="1:30" x14ac:dyDescent="0.25">
      <c r="B3" s="83" t="s">
        <v>20</v>
      </c>
      <c r="C3" s="83"/>
      <c r="D3" s="83"/>
      <c r="E3" s="83"/>
      <c r="F3" s="83"/>
      <c r="G3" s="46">
        <f>E10+I10+M10+Q10+U10+Y10+AC10</f>
        <v>2</v>
      </c>
    </row>
    <row r="4" spans="1:30" x14ac:dyDescent="0.25">
      <c r="B4" s="47"/>
      <c r="C4" s="47"/>
      <c r="D4" s="47"/>
      <c r="E4" s="47"/>
      <c r="F4" s="48" t="str">
        <f>Resume!A5</f>
        <v>Adrien</v>
      </c>
      <c r="G4" s="48">
        <v>0</v>
      </c>
      <c r="J4" s="11"/>
    </row>
    <row r="5" spans="1:30" x14ac:dyDescent="0.25">
      <c r="B5" s="47"/>
      <c r="C5" s="47"/>
      <c r="D5" s="47"/>
      <c r="E5" s="47"/>
      <c r="F5" s="48" t="str">
        <f>Resume!A6</f>
        <v>Abdoulaye</v>
      </c>
      <c r="G5" s="48">
        <v>0</v>
      </c>
      <c r="J5" s="11"/>
    </row>
    <row r="6" spans="1:30" x14ac:dyDescent="0.25">
      <c r="B6" s="47"/>
      <c r="C6" s="47"/>
      <c r="D6" s="47"/>
      <c r="E6" s="47"/>
      <c r="F6" s="48" t="str">
        <f>Resume!A7</f>
        <v>Shawez</v>
      </c>
      <c r="G6" s="48">
        <v>0</v>
      </c>
      <c r="J6" s="11"/>
    </row>
    <row r="7" spans="1:30" x14ac:dyDescent="0.25">
      <c r="B7" s="49"/>
      <c r="C7" s="49"/>
      <c r="D7" s="49"/>
      <c r="E7" s="49"/>
      <c r="F7" s="48" t="str">
        <f>Resume!A8</f>
        <v>Nadir</v>
      </c>
      <c r="G7" s="48">
        <v>0</v>
      </c>
    </row>
    <row r="8" spans="1:30" x14ac:dyDescent="0.25">
      <c r="B8" s="49"/>
      <c r="C8" s="49"/>
      <c r="D8" s="49"/>
      <c r="E8" s="49"/>
      <c r="F8" s="48" t="str">
        <f>Resume!A9</f>
        <v>L'équipe</v>
      </c>
      <c r="G8" s="48">
        <v>2</v>
      </c>
    </row>
    <row r="9" spans="1:30" ht="15.75" thickBot="1" x14ac:dyDescent="0.3">
      <c r="F9" s="11"/>
    </row>
    <row r="10" spans="1:30" ht="30" x14ac:dyDescent="0.25">
      <c r="A10" s="12" t="s">
        <v>24</v>
      </c>
      <c r="B10" s="84" t="s">
        <v>25</v>
      </c>
      <c r="C10" s="85"/>
      <c r="D10" s="86"/>
      <c r="E10" s="16">
        <f>C30+E30</f>
        <v>0</v>
      </c>
      <c r="F10" s="84" t="s">
        <v>26</v>
      </c>
      <c r="G10" s="85"/>
      <c r="H10" s="86"/>
      <c r="I10" s="16">
        <f>G30+I30</f>
        <v>0</v>
      </c>
      <c r="J10" s="80" t="s">
        <v>27</v>
      </c>
      <c r="K10" s="81"/>
      <c r="L10" s="82"/>
      <c r="M10" s="16">
        <f>K30+M30</f>
        <v>0</v>
      </c>
      <c r="N10" s="80" t="s">
        <v>28</v>
      </c>
      <c r="O10" s="81"/>
      <c r="P10" s="82"/>
      <c r="Q10" s="16">
        <f>O30+Q30</f>
        <v>0</v>
      </c>
      <c r="R10" s="80" t="s">
        <v>29</v>
      </c>
      <c r="S10" s="81"/>
      <c r="T10" s="82"/>
      <c r="U10" s="16">
        <f>S30+U30</f>
        <v>0</v>
      </c>
      <c r="V10" s="80" t="s">
        <v>30</v>
      </c>
      <c r="W10" s="81"/>
      <c r="X10" s="82"/>
      <c r="Y10" s="16">
        <f>W30+Y30</f>
        <v>2</v>
      </c>
      <c r="Z10" s="80" t="s">
        <v>31</v>
      </c>
      <c r="AA10" s="81"/>
      <c r="AB10" s="82"/>
      <c r="AC10" s="16">
        <f>AA30+AC30</f>
        <v>0</v>
      </c>
      <c r="AD10" s="19"/>
    </row>
    <row r="11" spans="1:30" x14ac:dyDescent="0.25">
      <c r="A11" s="13"/>
      <c r="B11" s="14">
        <f>Resume!D1+($C$1-1)*7</f>
        <v>43055</v>
      </c>
      <c r="C11" s="6"/>
      <c r="D11" s="7"/>
      <c r="E11" s="17"/>
      <c r="F11" s="14">
        <f>B11+1</f>
        <v>43056</v>
      </c>
      <c r="G11" s="6"/>
      <c r="H11" s="7"/>
      <c r="I11" s="15"/>
      <c r="J11" s="14">
        <f>F11+1</f>
        <v>43057</v>
      </c>
      <c r="K11" s="6"/>
      <c r="L11" s="7"/>
      <c r="M11" s="15"/>
      <c r="N11" s="14">
        <f>J11+1</f>
        <v>43058</v>
      </c>
      <c r="O11" s="6"/>
      <c r="P11" s="7"/>
      <c r="Q11" s="15"/>
      <c r="R11" s="14">
        <f>N11+1</f>
        <v>43059</v>
      </c>
      <c r="S11" s="6"/>
      <c r="T11" s="7"/>
      <c r="U11" s="15"/>
      <c r="V11" s="14">
        <f>R11+1</f>
        <v>43060</v>
      </c>
      <c r="W11" s="6"/>
      <c r="X11" s="7"/>
      <c r="Y11" s="15"/>
      <c r="Z11" s="14">
        <f>V11+1</f>
        <v>43061</v>
      </c>
      <c r="AA11" s="9"/>
      <c r="AB11" s="7"/>
      <c r="AC11" s="10"/>
      <c r="AD11" s="20" t="s">
        <v>22</v>
      </c>
    </row>
    <row r="12" spans="1:30" s="8" customFormat="1" ht="30" x14ac:dyDescent="0.25">
      <c r="A12" s="36" t="s">
        <v>4</v>
      </c>
      <c r="B12" s="37" t="s">
        <v>33</v>
      </c>
      <c r="C12" s="38" t="s">
        <v>16</v>
      </c>
      <c r="D12" s="38" t="s">
        <v>34</v>
      </c>
      <c r="E12" s="39" t="s">
        <v>16</v>
      </c>
      <c r="F12" s="37" t="s">
        <v>35</v>
      </c>
      <c r="G12" s="38" t="s">
        <v>16</v>
      </c>
      <c r="H12" s="38" t="s">
        <v>36</v>
      </c>
      <c r="I12" s="39" t="s">
        <v>16</v>
      </c>
      <c r="J12" s="37" t="s">
        <v>8</v>
      </c>
      <c r="K12" s="38" t="s">
        <v>16</v>
      </c>
      <c r="L12" s="38" t="s">
        <v>9</v>
      </c>
      <c r="M12" s="39" t="s">
        <v>16</v>
      </c>
      <c r="N12" s="37" t="s">
        <v>37</v>
      </c>
      <c r="O12" s="38" t="s">
        <v>16</v>
      </c>
      <c r="P12" s="38" t="s">
        <v>38</v>
      </c>
      <c r="Q12" s="39" t="s">
        <v>16</v>
      </c>
      <c r="R12" s="37" t="s">
        <v>10</v>
      </c>
      <c r="S12" s="38" t="s">
        <v>16</v>
      </c>
      <c r="T12" s="38" t="s">
        <v>11</v>
      </c>
      <c r="U12" s="39" t="s">
        <v>16</v>
      </c>
      <c r="V12" s="37" t="s">
        <v>12</v>
      </c>
      <c r="W12" s="38" t="s">
        <v>16</v>
      </c>
      <c r="X12" s="38" t="s">
        <v>13</v>
      </c>
      <c r="Y12" s="39" t="s">
        <v>16</v>
      </c>
      <c r="Z12" s="37" t="s">
        <v>14</v>
      </c>
      <c r="AA12" s="40" t="s">
        <v>16</v>
      </c>
      <c r="AB12" s="38" t="s">
        <v>15</v>
      </c>
      <c r="AC12" s="41" t="s">
        <v>16</v>
      </c>
      <c r="AD12" s="42" t="s">
        <v>16</v>
      </c>
    </row>
    <row r="13" spans="1:30" ht="24.75" x14ac:dyDescent="0.25">
      <c r="A13" s="68" t="s">
        <v>42</v>
      </c>
      <c r="B13" s="77"/>
      <c r="C13" s="69"/>
      <c r="D13" s="69"/>
      <c r="E13" s="71"/>
      <c r="F13" s="77"/>
      <c r="G13" s="69"/>
      <c r="H13" s="69"/>
      <c r="I13" s="71"/>
      <c r="J13" s="77"/>
      <c r="K13" s="69"/>
      <c r="L13" s="69"/>
      <c r="M13" s="71"/>
      <c r="N13" s="77"/>
      <c r="O13" s="69"/>
      <c r="P13" s="69"/>
      <c r="Q13" s="71"/>
      <c r="R13" s="77"/>
      <c r="S13" s="69"/>
      <c r="T13" s="69"/>
      <c r="U13" s="71"/>
      <c r="V13" s="79" t="s">
        <v>41</v>
      </c>
      <c r="W13" s="69">
        <v>2</v>
      </c>
      <c r="X13" s="69"/>
      <c r="Y13" s="71"/>
      <c r="Z13" s="77"/>
      <c r="AA13" s="73"/>
      <c r="AB13" s="69"/>
      <c r="AC13" s="75"/>
      <c r="AD13" s="21">
        <f>C13+E13+G13+I13+K13+M13+O13+Q13+S13+U13+W13+Y13+AA13+AC13</f>
        <v>2</v>
      </c>
    </row>
    <row r="14" spans="1:30" x14ac:dyDescent="0.25">
      <c r="A14" s="68"/>
      <c r="B14" s="77"/>
      <c r="C14" s="69"/>
      <c r="D14" s="69"/>
      <c r="E14" s="71"/>
      <c r="F14" s="77"/>
      <c r="G14" s="69"/>
      <c r="H14" s="69"/>
      <c r="I14" s="71"/>
      <c r="J14" s="77"/>
      <c r="K14" s="69"/>
      <c r="L14" s="69"/>
      <c r="M14" s="71"/>
      <c r="N14" s="77"/>
      <c r="O14" s="69"/>
      <c r="P14" s="69"/>
      <c r="Q14" s="71"/>
      <c r="R14" s="77"/>
      <c r="S14" s="69"/>
      <c r="T14" s="69"/>
      <c r="U14" s="71"/>
      <c r="V14" s="77"/>
      <c r="W14" s="69"/>
      <c r="X14" s="69"/>
      <c r="Y14" s="71"/>
      <c r="Z14" s="77"/>
      <c r="AA14" s="73"/>
      <c r="AB14" s="69"/>
      <c r="AC14" s="75"/>
      <c r="AD14" s="21">
        <f>C14+E14+G14+I14+K14+M14+O14+Q14+S14+U14+W14+Y14+AA14+AC14</f>
        <v>0</v>
      </c>
    </row>
    <row r="15" spans="1:30" x14ac:dyDescent="0.25">
      <c r="A15" s="68"/>
      <c r="B15" s="77"/>
      <c r="C15" s="69"/>
      <c r="D15" s="69"/>
      <c r="E15" s="71"/>
      <c r="F15" s="77"/>
      <c r="G15" s="69"/>
      <c r="H15" s="69"/>
      <c r="I15" s="71"/>
      <c r="J15" s="77"/>
      <c r="K15" s="69"/>
      <c r="L15" s="69"/>
      <c r="M15" s="71"/>
      <c r="N15" s="77"/>
      <c r="O15" s="69"/>
      <c r="P15" s="69"/>
      <c r="Q15" s="71"/>
      <c r="R15" s="77"/>
      <c r="S15" s="69"/>
      <c r="T15" s="69"/>
      <c r="U15" s="71"/>
      <c r="V15" s="77"/>
      <c r="W15" s="69"/>
      <c r="X15" s="69"/>
      <c r="Y15" s="71"/>
      <c r="Z15" s="77"/>
      <c r="AA15" s="73"/>
      <c r="AB15" s="69"/>
      <c r="AC15" s="75"/>
      <c r="AD15" s="21">
        <f t="shared" ref="AD15:AD30" si="0">C15+E15+G15+I15+K15+M15+O15+Q15+S15+U15+W15+Y15+AA15+AC15</f>
        <v>0</v>
      </c>
    </row>
    <row r="16" spans="1:30" x14ac:dyDescent="0.25">
      <c r="A16" s="68"/>
      <c r="B16" s="77"/>
      <c r="C16" s="69"/>
      <c r="D16" s="69"/>
      <c r="E16" s="71"/>
      <c r="F16" s="77"/>
      <c r="G16" s="69"/>
      <c r="H16" s="69"/>
      <c r="I16" s="71"/>
      <c r="J16" s="77"/>
      <c r="K16" s="69"/>
      <c r="L16" s="69"/>
      <c r="M16" s="71"/>
      <c r="N16" s="77"/>
      <c r="O16" s="69"/>
      <c r="P16" s="69"/>
      <c r="Q16" s="71"/>
      <c r="R16" s="77"/>
      <c r="S16" s="69"/>
      <c r="T16" s="69"/>
      <c r="U16" s="71"/>
      <c r="V16" s="77"/>
      <c r="W16" s="69"/>
      <c r="X16" s="69"/>
      <c r="Y16" s="71"/>
      <c r="Z16" s="77"/>
      <c r="AA16" s="69"/>
      <c r="AB16" s="69"/>
      <c r="AC16" s="71"/>
      <c r="AD16" s="21">
        <f t="shared" si="0"/>
        <v>0</v>
      </c>
    </row>
    <row r="17" spans="1:30" x14ac:dyDescent="0.25">
      <c r="A17" s="68"/>
      <c r="B17" s="77"/>
      <c r="C17" s="69"/>
      <c r="D17" s="69"/>
      <c r="E17" s="71"/>
      <c r="F17" s="77"/>
      <c r="G17" s="69"/>
      <c r="H17" s="69"/>
      <c r="I17" s="71"/>
      <c r="J17" s="77"/>
      <c r="K17" s="69"/>
      <c r="L17" s="69"/>
      <c r="M17" s="71"/>
      <c r="N17" s="77"/>
      <c r="O17" s="69"/>
      <c r="P17" s="69"/>
      <c r="Q17" s="71"/>
      <c r="R17" s="77"/>
      <c r="S17" s="69"/>
      <c r="T17" s="69"/>
      <c r="U17" s="71"/>
      <c r="V17" s="77"/>
      <c r="W17" s="69"/>
      <c r="X17" s="69"/>
      <c r="Y17" s="71"/>
      <c r="Z17" s="77"/>
      <c r="AA17" s="73"/>
      <c r="AB17" s="69"/>
      <c r="AC17" s="75"/>
      <c r="AD17" s="21">
        <f t="shared" si="0"/>
        <v>0</v>
      </c>
    </row>
    <row r="18" spans="1:30" x14ac:dyDescent="0.25">
      <c r="A18" s="68"/>
      <c r="B18" s="77"/>
      <c r="C18" s="69"/>
      <c r="D18" s="69"/>
      <c r="E18" s="71"/>
      <c r="F18" s="77"/>
      <c r="G18" s="69"/>
      <c r="H18" s="69"/>
      <c r="I18" s="71"/>
      <c r="J18" s="77"/>
      <c r="K18" s="69"/>
      <c r="L18" s="69"/>
      <c r="M18" s="71"/>
      <c r="N18" s="77"/>
      <c r="O18" s="69"/>
      <c r="P18" s="69"/>
      <c r="Q18" s="71"/>
      <c r="R18" s="77"/>
      <c r="S18" s="69"/>
      <c r="T18" s="69"/>
      <c r="U18" s="71"/>
      <c r="V18" s="77"/>
      <c r="W18" s="69"/>
      <c r="X18" s="69"/>
      <c r="Y18" s="71"/>
      <c r="Z18" s="77"/>
      <c r="AA18" s="73"/>
      <c r="AB18" s="69"/>
      <c r="AC18" s="75"/>
      <c r="AD18" s="21">
        <f t="shared" si="0"/>
        <v>0</v>
      </c>
    </row>
    <row r="19" spans="1:30" x14ac:dyDescent="0.25">
      <c r="A19" s="68"/>
      <c r="B19" s="77"/>
      <c r="C19" s="69"/>
      <c r="D19" s="69"/>
      <c r="E19" s="71"/>
      <c r="F19" s="77"/>
      <c r="G19" s="69"/>
      <c r="H19" s="69"/>
      <c r="I19" s="71"/>
      <c r="J19" s="77"/>
      <c r="K19" s="69"/>
      <c r="L19" s="69"/>
      <c r="M19" s="71"/>
      <c r="N19" s="77"/>
      <c r="O19" s="69"/>
      <c r="P19" s="69"/>
      <c r="Q19" s="71"/>
      <c r="R19" s="77"/>
      <c r="S19" s="69"/>
      <c r="T19" s="69"/>
      <c r="U19" s="71"/>
      <c r="V19" s="77"/>
      <c r="W19" s="69"/>
      <c r="X19" s="69"/>
      <c r="Y19" s="71"/>
      <c r="Z19" s="77"/>
      <c r="AA19" s="73"/>
      <c r="AB19" s="69"/>
      <c r="AC19" s="75"/>
      <c r="AD19" s="21">
        <f t="shared" si="0"/>
        <v>0</v>
      </c>
    </row>
    <row r="20" spans="1:30" x14ac:dyDescent="0.25">
      <c r="A20" s="68"/>
      <c r="B20" s="77"/>
      <c r="C20" s="69"/>
      <c r="D20" s="69"/>
      <c r="E20" s="71"/>
      <c r="F20" s="77"/>
      <c r="G20" s="69"/>
      <c r="H20" s="69"/>
      <c r="I20" s="71"/>
      <c r="J20" s="77"/>
      <c r="K20" s="69"/>
      <c r="L20" s="69"/>
      <c r="M20" s="71"/>
      <c r="N20" s="77"/>
      <c r="O20" s="69"/>
      <c r="P20" s="69"/>
      <c r="Q20" s="71"/>
      <c r="R20" s="77"/>
      <c r="S20" s="69"/>
      <c r="T20" s="69"/>
      <c r="U20" s="71"/>
      <c r="V20" s="77"/>
      <c r="W20" s="69"/>
      <c r="X20" s="69"/>
      <c r="Y20" s="71"/>
      <c r="Z20" s="77"/>
      <c r="AA20" s="73"/>
      <c r="AB20" s="69"/>
      <c r="AC20" s="75"/>
      <c r="AD20" s="21">
        <f t="shared" si="0"/>
        <v>0</v>
      </c>
    </row>
    <row r="21" spans="1:30" x14ac:dyDescent="0.25">
      <c r="A21" s="68"/>
      <c r="B21" s="77"/>
      <c r="C21" s="69"/>
      <c r="D21" s="69"/>
      <c r="E21" s="71"/>
      <c r="F21" s="77"/>
      <c r="G21" s="69"/>
      <c r="H21" s="69"/>
      <c r="I21" s="71"/>
      <c r="J21" s="77"/>
      <c r="K21" s="69"/>
      <c r="L21" s="69"/>
      <c r="M21" s="71"/>
      <c r="N21" s="77"/>
      <c r="O21" s="69"/>
      <c r="P21" s="69"/>
      <c r="Q21" s="71"/>
      <c r="R21" s="77"/>
      <c r="S21" s="69"/>
      <c r="T21" s="69"/>
      <c r="U21" s="71"/>
      <c r="V21" s="77"/>
      <c r="W21" s="69"/>
      <c r="X21" s="69"/>
      <c r="Y21" s="71"/>
      <c r="Z21" s="77"/>
      <c r="AA21" s="73"/>
      <c r="AB21" s="69"/>
      <c r="AC21" s="75"/>
      <c r="AD21" s="21">
        <f t="shared" si="0"/>
        <v>0</v>
      </c>
    </row>
    <row r="22" spans="1:30" x14ac:dyDescent="0.25">
      <c r="A22" s="68"/>
      <c r="B22" s="77"/>
      <c r="C22" s="69"/>
      <c r="D22" s="69"/>
      <c r="E22" s="71"/>
      <c r="F22" s="77"/>
      <c r="G22" s="69"/>
      <c r="H22" s="69"/>
      <c r="I22" s="71"/>
      <c r="J22" s="77"/>
      <c r="K22" s="69"/>
      <c r="L22" s="69"/>
      <c r="M22" s="71"/>
      <c r="N22" s="77"/>
      <c r="O22" s="69"/>
      <c r="P22" s="69"/>
      <c r="Q22" s="71"/>
      <c r="R22" s="77"/>
      <c r="S22" s="69"/>
      <c r="T22" s="69"/>
      <c r="U22" s="71"/>
      <c r="V22" s="77"/>
      <c r="W22" s="69"/>
      <c r="X22" s="69"/>
      <c r="Y22" s="71"/>
      <c r="Z22" s="77"/>
      <c r="AA22" s="73"/>
      <c r="AB22" s="69"/>
      <c r="AC22" s="75"/>
      <c r="AD22" s="21">
        <f t="shared" si="0"/>
        <v>0</v>
      </c>
    </row>
    <row r="23" spans="1:30" x14ac:dyDescent="0.25">
      <c r="A23" s="68"/>
      <c r="B23" s="77"/>
      <c r="C23" s="69"/>
      <c r="D23" s="69"/>
      <c r="E23" s="71"/>
      <c r="F23" s="77"/>
      <c r="G23" s="69"/>
      <c r="H23" s="69"/>
      <c r="I23" s="71"/>
      <c r="J23" s="77"/>
      <c r="K23" s="69"/>
      <c r="L23" s="69"/>
      <c r="M23" s="71"/>
      <c r="N23" s="77"/>
      <c r="O23" s="69"/>
      <c r="P23" s="69"/>
      <c r="Q23" s="71"/>
      <c r="R23" s="77"/>
      <c r="S23" s="69"/>
      <c r="T23" s="69"/>
      <c r="U23" s="71"/>
      <c r="V23" s="77"/>
      <c r="W23" s="69"/>
      <c r="X23" s="69"/>
      <c r="Y23" s="71"/>
      <c r="Z23" s="77"/>
      <c r="AA23" s="73"/>
      <c r="AB23" s="69"/>
      <c r="AC23" s="75"/>
      <c r="AD23" s="21">
        <f t="shared" si="0"/>
        <v>0</v>
      </c>
    </row>
    <row r="24" spans="1:30" x14ac:dyDescent="0.25">
      <c r="A24" s="68"/>
      <c r="B24" s="77"/>
      <c r="C24" s="69"/>
      <c r="D24" s="69"/>
      <c r="E24" s="71"/>
      <c r="F24" s="77"/>
      <c r="G24" s="69"/>
      <c r="H24" s="69"/>
      <c r="I24" s="71"/>
      <c r="J24" s="77"/>
      <c r="K24" s="69"/>
      <c r="L24" s="69"/>
      <c r="M24" s="71"/>
      <c r="N24" s="77"/>
      <c r="O24" s="69"/>
      <c r="P24" s="69"/>
      <c r="Q24" s="71"/>
      <c r="R24" s="77"/>
      <c r="S24" s="69"/>
      <c r="T24" s="69"/>
      <c r="U24" s="71"/>
      <c r="V24" s="77"/>
      <c r="W24" s="69"/>
      <c r="X24" s="69"/>
      <c r="Y24" s="71"/>
      <c r="Z24" s="77"/>
      <c r="AA24" s="73"/>
      <c r="AB24" s="69"/>
      <c r="AC24" s="75"/>
      <c r="AD24" s="21">
        <f t="shared" si="0"/>
        <v>0</v>
      </c>
    </row>
    <row r="25" spans="1:30" x14ac:dyDescent="0.25">
      <c r="A25" s="68"/>
      <c r="B25" s="77"/>
      <c r="C25" s="69"/>
      <c r="D25" s="69"/>
      <c r="E25" s="71"/>
      <c r="F25" s="77"/>
      <c r="G25" s="69"/>
      <c r="H25" s="69"/>
      <c r="I25" s="71"/>
      <c r="J25" s="77"/>
      <c r="K25" s="69"/>
      <c r="L25" s="69"/>
      <c r="M25" s="71"/>
      <c r="N25" s="77"/>
      <c r="O25" s="69"/>
      <c r="P25" s="69"/>
      <c r="Q25" s="71"/>
      <c r="R25" s="77"/>
      <c r="S25" s="69"/>
      <c r="T25" s="69"/>
      <c r="U25" s="71"/>
      <c r="V25" s="77"/>
      <c r="W25" s="69"/>
      <c r="X25" s="69"/>
      <c r="Y25" s="71"/>
      <c r="Z25" s="77"/>
      <c r="AA25" s="73"/>
      <c r="AB25" s="69"/>
      <c r="AC25" s="75"/>
      <c r="AD25" s="21">
        <f t="shared" si="0"/>
        <v>0</v>
      </c>
    </row>
    <row r="26" spans="1:30" x14ac:dyDescent="0.25">
      <c r="A26" s="68"/>
      <c r="B26" s="77"/>
      <c r="C26" s="69"/>
      <c r="D26" s="69"/>
      <c r="E26" s="71"/>
      <c r="F26" s="77"/>
      <c r="G26" s="69"/>
      <c r="H26" s="69"/>
      <c r="I26" s="71"/>
      <c r="J26" s="77"/>
      <c r="K26" s="69"/>
      <c r="L26" s="69"/>
      <c r="M26" s="71"/>
      <c r="N26" s="77"/>
      <c r="O26" s="69"/>
      <c r="P26" s="69"/>
      <c r="Q26" s="71"/>
      <c r="R26" s="77"/>
      <c r="S26" s="69"/>
      <c r="T26" s="69"/>
      <c r="U26" s="71"/>
      <c r="V26" s="77"/>
      <c r="W26" s="69"/>
      <c r="X26" s="69"/>
      <c r="Y26" s="71"/>
      <c r="Z26" s="77"/>
      <c r="AA26" s="73"/>
      <c r="AB26" s="69"/>
      <c r="AC26" s="75"/>
      <c r="AD26" s="21">
        <f t="shared" si="0"/>
        <v>0</v>
      </c>
    </row>
    <row r="27" spans="1:30" x14ac:dyDescent="0.25">
      <c r="A27" s="68"/>
      <c r="B27" s="77"/>
      <c r="C27" s="69"/>
      <c r="D27" s="69"/>
      <c r="E27" s="71"/>
      <c r="F27" s="77"/>
      <c r="G27" s="69"/>
      <c r="H27" s="69"/>
      <c r="I27" s="71"/>
      <c r="J27" s="77"/>
      <c r="K27" s="69"/>
      <c r="L27" s="69"/>
      <c r="M27" s="71"/>
      <c r="N27" s="77"/>
      <c r="O27" s="69"/>
      <c r="P27" s="69"/>
      <c r="Q27" s="71"/>
      <c r="R27" s="77"/>
      <c r="S27" s="69"/>
      <c r="T27" s="69"/>
      <c r="U27" s="71"/>
      <c r="V27" s="77"/>
      <c r="W27" s="69"/>
      <c r="X27" s="69"/>
      <c r="Y27" s="71"/>
      <c r="Z27" s="77"/>
      <c r="AA27" s="73"/>
      <c r="AB27" s="69"/>
      <c r="AC27" s="75"/>
      <c r="AD27" s="21">
        <f t="shared" si="0"/>
        <v>0</v>
      </c>
    </row>
    <row r="28" spans="1:30" x14ac:dyDescent="0.25">
      <c r="A28" s="68"/>
      <c r="B28" s="77"/>
      <c r="C28" s="69"/>
      <c r="D28" s="69"/>
      <c r="E28" s="71"/>
      <c r="F28" s="77"/>
      <c r="G28" s="69"/>
      <c r="H28" s="69"/>
      <c r="I28" s="71"/>
      <c r="J28" s="77"/>
      <c r="K28" s="69"/>
      <c r="L28" s="69"/>
      <c r="M28" s="71"/>
      <c r="N28" s="77"/>
      <c r="O28" s="69"/>
      <c r="P28" s="69"/>
      <c r="Q28" s="71"/>
      <c r="R28" s="77"/>
      <c r="S28" s="69"/>
      <c r="T28" s="69"/>
      <c r="U28" s="71"/>
      <c r="V28" s="77"/>
      <c r="W28" s="69"/>
      <c r="X28" s="69"/>
      <c r="Y28" s="71"/>
      <c r="Z28" s="77"/>
      <c r="AA28" s="73"/>
      <c r="AB28" s="69"/>
      <c r="AC28" s="75"/>
      <c r="AD28" s="21">
        <f t="shared" si="0"/>
        <v>0</v>
      </c>
    </row>
    <row r="29" spans="1:30" ht="15.75" thickBot="1" x14ac:dyDescent="0.3">
      <c r="A29" s="68"/>
      <c r="B29" s="78"/>
      <c r="C29" s="70"/>
      <c r="D29" s="70"/>
      <c r="E29" s="72"/>
      <c r="F29" s="78"/>
      <c r="G29" s="70"/>
      <c r="H29" s="70"/>
      <c r="I29" s="72"/>
      <c r="J29" s="78"/>
      <c r="K29" s="70"/>
      <c r="L29" s="70"/>
      <c r="M29" s="72"/>
      <c r="N29" s="78"/>
      <c r="O29" s="70"/>
      <c r="P29" s="70"/>
      <c r="Q29" s="72"/>
      <c r="R29" s="78"/>
      <c r="S29" s="70"/>
      <c r="T29" s="70"/>
      <c r="U29" s="72"/>
      <c r="V29" s="78"/>
      <c r="W29" s="70"/>
      <c r="X29" s="70"/>
      <c r="Y29" s="72"/>
      <c r="Z29" s="78"/>
      <c r="AA29" s="74"/>
      <c r="AB29" s="70"/>
      <c r="AC29" s="76"/>
      <c r="AD29" s="22">
        <f t="shared" si="0"/>
        <v>0</v>
      </c>
    </row>
    <row r="30" spans="1:30" x14ac:dyDescent="0.25">
      <c r="C30" s="1">
        <f>SUM(C13:C29)</f>
        <v>0</v>
      </c>
      <c r="E30" s="1">
        <f>SUM(E13:E29)</f>
        <v>0</v>
      </c>
      <c r="G30" s="1">
        <f>SUM(G13:G29)</f>
        <v>0</v>
      </c>
      <c r="I30" s="1">
        <f>SUM(I13:I29)</f>
        <v>0</v>
      </c>
      <c r="K30" s="1">
        <f>SUM(K13:K29)</f>
        <v>0</v>
      </c>
      <c r="M30" s="1">
        <f>SUM(M13:M29)</f>
        <v>0</v>
      </c>
      <c r="O30" s="1">
        <f>SUM(O13:O29)</f>
        <v>0</v>
      </c>
      <c r="Q30" s="1">
        <f>SUM(Q13:Q29)</f>
        <v>0</v>
      </c>
      <c r="S30" s="1">
        <f>SUM(S13:S29)</f>
        <v>0</v>
      </c>
      <c r="U30" s="1">
        <f>SUM(U13:U29)</f>
        <v>0</v>
      </c>
      <c r="W30" s="1">
        <f>SUM(W13:W29)</f>
        <v>2</v>
      </c>
      <c r="Y30" s="1">
        <f>SUM(Y13:Y29)</f>
        <v>0</v>
      </c>
      <c r="AA30" s="1">
        <f>SUM(AA13:AA29)</f>
        <v>0</v>
      </c>
      <c r="AC30" s="1">
        <f>SUM(AC13:AC29)</f>
        <v>0</v>
      </c>
      <c r="AD30" s="18">
        <f t="shared" si="0"/>
        <v>2</v>
      </c>
    </row>
  </sheetData>
  <sheetProtection sheet="1" objects="1" scenarios="1" selectLockedCells="1"/>
  <mergeCells count="8">
    <mergeCell ref="V10:X10"/>
    <mergeCell ref="Z10:AB10"/>
    <mergeCell ref="B3:F3"/>
    <mergeCell ref="B10:D10"/>
    <mergeCell ref="F10:H10"/>
    <mergeCell ref="J10:L10"/>
    <mergeCell ref="N10:P10"/>
    <mergeCell ref="R10:T10"/>
  </mergeCells>
  <dataValidations count="2">
    <dataValidation type="list" allowBlank="1" showInputMessage="1" showErrorMessage="1" sqref="B13:B29 H13:H29 L13:L29 P13:P29 T13:T29 X13:X29 D13:D29 F13:F29 J13:J29 N13:N29 R13:R29 V13:V29 Z13:Z29 AB13:AB29">
      <formula1>taches</formula1>
    </dataValidation>
    <dataValidation type="list" allowBlank="1" showInputMessage="1" showErrorMessage="1" sqref="A13:A29">
      <formula1>equipe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outon 10">
              <controlPr defaultSize="0" print="0" autoFill="0" autoPict="0" macro="[0]!Recherche_tache">
                <anchor moveWithCells="1" sizeWithCells="1">
                  <from>
                    <xdr:col>11</xdr:col>
                    <xdr:colOff>9525</xdr:colOff>
                    <xdr:row>6</xdr:row>
                    <xdr:rowOff>171450</xdr:rowOff>
                  </from>
                  <to>
                    <xdr:col>11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AD30"/>
  <sheetViews>
    <sheetView topLeftCell="A2" workbookViewId="0">
      <selection activeCell="A15" sqref="A15"/>
    </sheetView>
  </sheetViews>
  <sheetFormatPr baseColWidth="10" defaultRowHeight="15" x14ac:dyDescent="0.25"/>
  <cols>
    <col min="1" max="1" width="11.5703125" style="1"/>
    <col min="2" max="2" width="11.7109375" style="1" customWidth="1"/>
    <col min="3" max="3" width="3.85546875" style="1" customWidth="1"/>
    <col min="4" max="4" width="11.7109375" style="1" customWidth="1"/>
    <col min="5" max="5" width="3.85546875" style="1" customWidth="1"/>
    <col min="6" max="6" width="11.7109375" style="1" customWidth="1"/>
    <col min="7" max="7" width="3.85546875" style="1" customWidth="1"/>
    <col min="8" max="8" width="11.7109375" style="1" customWidth="1"/>
    <col min="9" max="9" width="3.85546875" style="1" customWidth="1"/>
    <col min="10" max="10" width="11.7109375" style="1" customWidth="1"/>
    <col min="11" max="11" width="3.85546875" style="1" customWidth="1"/>
    <col min="12" max="12" width="11.7109375" style="1" customWidth="1"/>
    <col min="13" max="13" width="3.85546875" style="1" customWidth="1"/>
    <col min="14" max="14" width="11.7109375" style="1" customWidth="1"/>
    <col min="15" max="15" width="3.85546875" style="1" customWidth="1"/>
    <col min="16" max="16" width="11.7109375" customWidth="1"/>
    <col min="17" max="17" width="3.85546875" customWidth="1"/>
    <col min="18" max="18" width="11.7109375" customWidth="1"/>
    <col min="19" max="19" width="3.85546875" customWidth="1"/>
    <col min="20" max="20" width="11.7109375" customWidth="1"/>
    <col min="21" max="21" width="3.85546875" customWidth="1"/>
    <col min="22" max="22" width="11.7109375" customWidth="1"/>
    <col min="23" max="23" width="3.85546875" customWidth="1"/>
    <col min="24" max="24" width="11.7109375" customWidth="1"/>
    <col min="25" max="25" width="3.85546875" customWidth="1"/>
    <col min="26" max="26" width="11.7109375" customWidth="1"/>
    <col min="27" max="27" width="3.7109375" customWidth="1"/>
    <col min="28" max="28" width="13.28515625" customWidth="1"/>
    <col min="29" max="29" width="3.85546875" customWidth="1"/>
    <col min="30" max="30" width="6.28515625" customWidth="1"/>
  </cols>
  <sheetData>
    <row r="1" spans="1:30" ht="15.75" thickBot="1" x14ac:dyDescent="0.3">
      <c r="B1" s="43" t="s">
        <v>5</v>
      </c>
      <c r="C1" s="44">
        <v>2</v>
      </c>
      <c r="D1" s="45" t="s">
        <v>7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30" x14ac:dyDescent="0.25"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0" x14ac:dyDescent="0.25">
      <c r="B3" s="83" t="s">
        <v>20</v>
      </c>
      <c r="C3" s="83"/>
      <c r="D3" s="83"/>
      <c r="E3" s="83"/>
      <c r="F3" s="83"/>
      <c r="G3" s="46">
        <f>E10+I10+M10+Q10+U10+Y10+AC10</f>
        <v>20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0" x14ac:dyDescent="0.25">
      <c r="B4" s="47"/>
      <c r="C4" s="47"/>
      <c r="D4" s="47"/>
      <c r="E4" s="47"/>
      <c r="F4" s="48" t="str">
        <f>Resume!A5</f>
        <v>Adrien</v>
      </c>
      <c r="G4" s="48">
        <v>6</v>
      </c>
      <c r="J4" s="1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30" x14ac:dyDescent="0.25">
      <c r="B5" s="47"/>
      <c r="C5" s="47"/>
      <c r="D5" s="47"/>
      <c r="E5" s="47"/>
      <c r="F5" s="48" t="str">
        <f>Resume!A6</f>
        <v>Abdoulaye</v>
      </c>
      <c r="G5" s="48">
        <v>3</v>
      </c>
      <c r="J5" s="1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30" x14ac:dyDescent="0.25">
      <c r="B6" s="47"/>
      <c r="C6" s="47"/>
      <c r="D6" s="47"/>
      <c r="E6" s="47"/>
      <c r="F6" s="48" t="str">
        <f>Resume!A7</f>
        <v>Shawez</v>
      </c>
      <c r="G6" s="48">
        <v>4</v>
      </c>
      <c r="J6" s="1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30" x14ac:dyDescent="0.25">
      <c r="B7" s="49"/>
      <c r="C7" s="49"/>
      <c r="D7" s="49"/>
      <c r="E7" s="49"/>
      <c r="F7" s="48" t="str">
        <f>Resume!A8</f>
        <v>Nadir</v>
      </c>
      <c r="G7" s="48">
        <v>3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30" x14ac:dyDescent="0.25">
      <c r="B8" s="49"/>
      <c r="C8" s="49"/>
      <c r="D8" s="49"/>
      <c r="E8" s="49"/>
      <c r="F8" s="48" t="str">
        <f>Resume!A9</f>
        <v>L'équipe</v>
      </c>
      <c r="G8" s="48">
        <v>4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30" ht="15.75" thickBot="1" x14ac:dyDescent="0.3">
      <c r="F9" s="1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30" ht="30" x14ac:dyDescent="0.25">
      <c r="A10" s="12" t="s">
        <v>24</v>
      </c>
      <c r="B10" s="84" t="s">
        <v>25</v>
      </c>
      <c r="C10" s="85"/>
      <c r="D10" s="86"/>
      <c r="E10" s="16">
        <f>C30+E30</f>
        <v>0</v>
      </c>
      <c r="F10" s="84" t="s">
        <v>26</v>
      </c>
      <c r="G10" s="85"/>
      <c r="H10" s="86"/>
      <c r="I10" s="16">
        <f>G30+I30</f>
        <v>2</v>
      </c>
      <c r="J10" s="80" t="s">
        <v>27</v>
      </c>
      <c r="K10" s="81"/>
      <c r="L10" s="82"/>
      <c r="M10" s="16">
        <f>K30+M30</f>
        <v>6</v>
      </c>
      <c r="N10" s="80" t="s">
        <v>28</v>
      </c>
      <c r="O10" s="81"/>
      <c r="P10" s="82"/>
      <c r="Q10" s="16">
        <f>O30+Q30</f>
        <v>4</v>
      </c>
      <c r="R10" s="80" t="s">
        <v>29</v>
      </c>
      <c r="S10" s="81"/>
      <c r="T10" s="82"/>
      <c r="U10" s="16">
        <f>S30+U30</f>
        <v>4</v>
      </c>
      <c r="V10" s="80" t="s">
        <v>30</v>
      </c>
      <c r="W10" s="81"/>
      <c r="X10" s="82"/>
      <c r="Y10" s="16">
        <f>W30+Y30</f>
        <v>4</v>
      </c>
      <c r="Z10" s="80" t="s">
        <v>31</v>
      </c>
      <c r="AA10" s="81"/>
      <c r="AB10" s="82"/>
      <c r="AC10" s="16">
        <f>AA30+AC30</f>
        <v>0</v>
      </c>
      <c r="AD10" s="19"/>
    </row>
    <row r="11" spans="1:30" x14ac:dyDescent="0.25">
      <c r="A11" s="13"/>
      <c r="B11" s="14">
        <f>Resume!D1+($C$1-1)*7</f>
        <v>43062</v>
      </c>
      <c r="C11" s="6"/>
      <c r="D11" s="7"/>
      <c r="E11" s="17"/>
      <c r="F11" s="14">
        <f>B11+1</f>
        <v>43063</v>
      </c>
      <c r="G11" s="6"/>
      <c r="H11" s="7"/>
      <c r="I11" s="15"/>
      <c r="J11" s="14">
        <f>F11+1</f>
        <v>43064</v>
      </c>
      <c r="K11" s="6"/>
      <c r="L11" s="7"/>
      <c r="M11" s="15"/>
      <c r="N11" s="14">
        <f>J11+1</f>
        <v>43065</v>
      </c>
      <c r="O11" s="6"/>
      <c r="P11" s="7"/>
      <c r="Q11" s="15"/>
      <c r="R11" s="14">
        <f>N11+1</f>
        <v>43066</v>
      </c>
      <c r="S11" s="6"/>
      <c r="T11" s="7"/>
      <c r="U11" s="15"/>
      <c r="V11" s="14">
        <f>R11+1</f>
        <v>43067</v>
      </c>
      <c r="W11" s="6"/>
      <c r="X11" s="7"/>
      <c r="Y11" s="15"/>
      <c r="Z11" s="14">
        <f>V11+1</f>
        <v>43068</v>
      </c>
      <c r="AA11" s="9"/>
      <c r="AB11" s="7"/>
      <c r="AC11" s="10"/>
      <c r="AD11" s="20" t="s">
        <v>22</v>
      </c>
    </row>
    <row r="12" spans="1:30" s="8" customFormat="1" ht="30" x14ac:dyDescent="0.25">
      <c r="A12" s="36" t="s">
        <v>4</v>
      </c>
      <c r="B12" s="37" t="s">
        <v>33</v>
      </c>
      <c r="C12" s="38" t="s">
        <v>16</v>
      </c>
      <c r="D12" s="38" t="s">
        <v>34</v>
      </c>
      <c r="E12" s="39" t="s">
        <v>16</v>
      </c>
      <c r="F12" s="37" t="s">
        <v>35</v>
      </c>
      <c r="G12" s="38" t="s">
        <v>16</v>
      </c>
      <c r="H12" s="38" t="s">
        <v>36</v>
      </c>
      <c r="I12" s="39" t="s">
        <v>16</v>
      </c>
      <c r="J12" s="37" t="s">
        <v>8</v>
      </c>
      <c r="K12" s="38" t="s">
        <v>16</v>
      </c>
      <c r="L12" s="38" t="s">
        <v>9</v>
      </c>
      <c r="M12" s="39" t="s">
        <v>16</v>
      </c>
      <c r="N12" s="37" t="s">
        <v>37</v>
      </c>
      <c r="O12" s="38" t="s">
        <v>16</v>
      </c>
      <c r="P12" s="38" t="s">
        <v>38</v>
      </c>
      <c r="Q12" s="39" t="s">
        <v>16</v>
      </c>
      <c r="R12" s="37" t="s">
        <v>10</v>
      </c>
      <c r="S12" s="38" t="s">
        <v>16</v>
      </c>
      <c r="T12" s="38" t="s">
        <v>11</v>
      </c>
      <c r="U12" s="39" t="s">
        <v>16</v>
      </c>
      <c r="V12" s="37" t="s">
        <v>12</v>
      </c>
      <c r="W12" s="38" t="s">
        <v>16</v>
      </c>
      <c r="X12" s="38" t="s">
        <v>13</v>
      </c>
      <c r="Y12" s="39" t="s">
        <v>16</v>
      </c>
      <c r="Z12" s="37" t="s">
        <v>14</v>
      </c>
      <c r="AA12" s="40" t="s">
        <v>16</v>
      </c>
      <c r="AB12" s="38" t="s">
        <v>15</v>
      </c>
      <c r="AC12" s="41" t="s">
        <v>16</v>
      </c>
      <c r="AD12" s="42" t="s">
        <v>16</v>
      </c>
    </row>
    <row r="13" spans="1:30" ht="34.5" x14ac:dyDescent="0.25">
      <c r="A13" s="68" t="s">
        <v>42</v>
      </c>
      <c r="B13" s="77"/>
      <c r="C13" s="69"/>
      <c r="D13" s="69"/>
      <c r="E13" s="71"/>
      <c r="F13" s="77" t="s">
        <v>53</v>
      </c>
      <c r="G13" s="69">
        <v>1</v>
      </c>
      <c r="H13" s="69"/>
      <c r="I13" s="71"/>
      <c r="J13" s="77"/>
      <c r="K13" s="69"/>
      <c r="L13" s="69"/>
      <c r="M13" s="71"/>
      <c r="N13" s="77"/>
      <c r="O13" s="69"/>
      <c r="P13" s="69"/>
      <c r="Q13" s="71"/>
      <c r="R13" s="77"/>
      <c r="S13" s="69"/>
      <c r="T13" s="69"/>
      <c r="U13" s="71"/>
      <c r="V13" s="77" t="s">
        <v>44</v>
      </c>
      <c r="W13" s="69">
        <v>1</v>
      </c>
      <c r="X13" s="69"/>
      <c r="Y13" s="71"/>
      <c r="Z13" s="77"/>
      <c r="AA13" s="73"/>
      <c r="AB13" s="69"/>
      <c r="AC13" s="75"/>
      <c r="AD13" s="21">
        <f>C13+E13+G13+I13+K13+M13+O13+Q13+S13+U13+W13+Y13+AA13+AC13</f>
        <v>2</v>
      </c>
    </row>
    <row r="14" spans="1:30" ht="34.5" x14ac:dyDescent="0.25">
      <c r="A14" s="68" t="s">
        <v>42</v>
      </c>
      <c r="B14" s="77"/>
      <c r="C14" s="69"/>
      <c r="D14" s="69"/>
      <c r="E14" s="71"/>
      <c r="F14" s="77" t="s">
        <v>55</v>
      </c>
      <c r="G14" s="69">
        <v>1</v>
      </c>
      <c r="H14" s="69"/>
      <c r="I14" s="71"/>
      <c r="J14" s="77"/>
      <c r="K14" s="69"/>
      <c r="L14" s="69"/>
      <c r="M14" s="71"/>
      <c r="N14" s="77"/>
      <c r="O14" s="69"/>
      <c r="P14" s="69"/>
      <c r="Q14" s="71"/>
      <c r="R14" s="77"/>
      <c r="S14" s="69"/>
      <c r="T14" s="69"/>
      <c r="U14" s="71"/>
      <c r="V14" s="77" t="s">
        <v>47</v>
      </c>
      <c r="W14" s="69">
        <v>1</v>
      </c>
      <c r="X14" s="69"/>
      <c r="Y14" s="71"/>
      <c r="Z14" s="77"/>
      <c r="AA14" s="73"/>
      <c r="AB14" s="69"/>
      <c r="AC14" s="75"/>
      <c r="AD14" s="21">
        <f>C14+E14+G14+I14+K14+M14+O14+Q14+S14+U14+W14+Y14+AA14+AC14</f>
        <v>2</v>
      </c>
    </row>
    <row r="15" spans="1:30" ht="23.25" x14ac:dyDescent="0.25">
      <c r="A15" s="68" t="s">
        <v>51</v>
      </c>
      <c r="B15" s="77"/>
      <c r="C15" s="69"/>
      <c r="D15" s="69"/>
      <c r="E15" s="71"/>
      <c r="F15" s="77"/>
      <c r="G15" s="69"/>
      <c r="H15" s="69"/>
      <c r="I15" s="71"/>
      <c r="J15" s="77"/>
      <c r="K15" s="69"/>
      <c r="L15" s="69"/>
      <c r="M15" s="71"/>
      <c r="N15" s="77"/>
      <c r="O15" s="69"/>
      <c r="P15" s="69"/>
      <c r="Q15" s="71"/>
      <c r="R15" s="77"/>
      <c r="S15" s="69"/>
      <c r="T15" s="69"/>
      <c r="U15" s="71"/>
      <c r="V15" s="77" t="s">
        <v>50</v>
      </c>
      <c r="W15" s="69">
        <v>2</v>
      </c>
      <c r="X15" s="69"/>
      <c r="Y15" s="71"/>
      <c r="Z15" s="77"/>
      <c r="AA15" s="73"/>
      <c r="AB15" s="69"/>
      <c r="AC15" s="75"/>
      <c r="AD15" s="21">
        <f t="shared" ref="AD15:AD30" si="0">C15+E15+G15+I15+K15+M15+O15+Q15+S15+U15+W15+Y15+AA15+AC15</f>
        <v>2</v>
      </c>
    </row>
    <row r="16" spans="1:30" ht="34.5" x14ac:dyDescent="0.25">
      <c r="A16" s="68" t="s">
        <v>51</v>
      </c>
      <c r="B16" s="77"/>
      <c r="C16" s="69"/>
      <c r="D16" s="69"/>
      <c r="E16" s="71"/>
      <c r="F16" s="77"/>
      <c r="G16" s="69"/>
      <c r="H16" s="69"/>
      <c r="I16" s="71"/>
      <c r="J16" s="77"/>
      <c r="K16" s="69"/>
      <c r="L16" s="69"/>
      <c r="M16" s="71"/>
      <c r="N16" s="77"/>
      <c r="O16" s="69"/>
      <c r="P16" s="69" t="s">
        <v>60</v>
      </c>
      <c r="Q16" s="71">
        <v>4</v>
      </c>
      <c r="R16" s="77"/>
      <c r="S16" s="69"/>
      <c r="T16" s="69"/>
      <c r="U16" s="71"/>
      <c r="V16" s="77"/>
      <c r="W16" s="69"/>
      <c r="X16" s="69"/>
      <c r="Y16" s="71"/>
      <c r="Z16" s="77"/>
      <c r="AA16" s="69"/>
      <c r="AB16" s="69"/>
      <c r="AC16" s="71"/>
      <c r="AD16" s="21">
        <f t="shared" si="0"/>
        <v>4</v>
      </c>
    </row>
    <row r="17" spans="1:30" ht="57" x14ac:dyDescent="0.25">
      <c r="A17" s="68" t="s">
        <v>48</v>
      </c>
      <c r="B17" s="77"/>
      <c r="C17" s="69"/>
      <c r="D17" s="69"/>
      <c r="E17" s="71"/>
      <c r="F17" s="77"/>
      <c r="G17" s="69"/>
      <c r="H17" s="69"/>
      <c r="I17" s="71"/>
      <c r="J17" s="77"/>
      <c r="K17" s="69"/>
      <c r="L17" s="69" t="s">
        <v>67</v>
      </c>
      <c r="M17" s="71">
        <v>3</v>
      </c>
      <c r="N17" s="77"/>
      <c r="O17" s="69"/>
      <c r="P17" s="69"/>
      <c r="Q17" s="71"/>
      <c r="R17" s="77"/>
      <c r="S17" s="69"/>
      <c r="T17" s="69"/>
      <c r="U17" s="71"/>
      <c r="V17" s="77"/>
      <c r="W17" s="69"/>
      <c r="X17" s="69"/>
      <c r="Y17" s="71"/>
      <c r="Z17" s="77"/>
      <c r="AA17" s="73"/>
      <c r="AB17" s="69"/>
      <c r="AC17" s="75"/>
      <c r="AD17" s="21">
        <f t="shared" si="0"/>
        <v>3</v>
      </c>
    </row>
    <row r="18" spans="1:30" ht="34.5" x14ac:dyDescent="0.25">
      <c r="A18" s="68" t="s">
        <v>45</v>
      </c>
      <c r="B18" s="77"/>
      <c r="C18" s="69"/>
      <c r="D18" s="69"/>
      <c r="E18" s="71"/>
      <c r="F18" s="77"/>
      <c r="G18" s="69"/>
      <c r="H18" s="69"/>
      <c r="I18" s="71"/>
      <c r="J18" s="77"/>
      <c r="K18" s="69"/>
      <c r="L18" s="69"/>
      <c r="M18" s="71"/>
      <c r="N18" s="77"/>
      <c r="O18" s="69"/>
      <c r="P18" s="69"/>
      <c r="Q18" s="71"/>
      <c r="R18" s="77"/>
      <c r="S18" s="69"/>
      <c r="T18" s="69" t="s">
        <v>81</v>
      </c>
      <c r="U18" s="71">
        <v>4</v>
      </c>
      <c r="V18" s="77"/>
      <c r="W18" s="69"/>
      <c r="X18" s="69"/>
      <c r="Y18" s="71"/>
      <c r="Z18" s="77"/>
      <c r="AA18" s="73"/>
      <c r="AB18" s="69"/>
      <c r="AC18" s="75"/>
      <c r="AD18" s="21">
        <f t="shared" si="0"/>
        <v>4</v>
      </c>
    </row>
    <row r="19" spans="1:30" ht="34.5" x14ac:dyDescent="0.25">
      <c r="A19" s="68" t="s">
        <v>56</v>
      </c>
      <c r="B19" s="77"/>
      <c r="C19" s="69"/>
      <c r="D19" s="69"/>
      <c r="E19" s="71"/>
      <c r="F19" s="77"/>
      <c r="G19" s="69"/>
      <c r="H19" s="69"/>
      <c r="I19" s="71"/>
      <c r="J19" s="77"/>
      <c r="K19" s="69"/>
      <c r="L19" s="69" t="s">
        <v>61</v>
      </c>
      <c r="M19" s="71">
        <v>3</v>
      </c>
      <c r="N19" s="77"/>
      <c r="O19" s="69"/>
      <c r="P19" s="69"/>
      <c r="Q19" s="71"/>
      <c r="R19" s="77"/>
      <c r="S19" s="69"/>
      <c r="T19" s="69"/>
      <c r="U19" s="71"/>
      <c r="V19" s="77"/>
      <c r="W19" s="69"/>
      <c r="X19" s="69"/>
      <c r="Y19" s="71"/>
      <c r="Z19" s="77"/>
      <c r="AA19" s="73"/>
      <c r="AB19" s="69"/>
      <c r="AC19" s="75"/>
      <c r="AD19" s="21">
        <f t="shared" si="0"/>
        <v>3</v>
      </c>
    </row>
    <row r="20" spans="1:30" x14ac:dyDescent="0.25">
      <c r="A20" s="68"/>
      <c r="B20" s="77"/>
      <c r="C20" s="69"/>
      <c r="D20" s="69"/>
      <c r="E20" s="71"/>
      <c r="F20" s="77"/>
      <c r="G20" s="69"/>
      <c r="H20" s="69"/>
      <c r="I20" s="71"/>
      <c r="J20" s="77"/>
      <c r="K20" s="69"/>
      <c r="L20" s="69"/>
      <c r="M20" s="71"/>
      <c r="N20" s="77"/>
      <c r="O20" s="69"/>
      <c r="P20" s="69"/>
      <c r="Q20" s="71"/>
      <c r="R20" s="77"/>
      <c r="S20" s="69"/>
      <c r="T20" s="69"/>
      <c r="U20" s="71"/>
      <c r="V20" s="77"/>
      <c r="W20" s="69"/>
      <c r="X20" s="69"/>
      <c r="Y20" s="71"/>
      <c r="Z20" s="77"/>
      <c r="AA20" s="73"/>
      <c r="AB20" s="69"/>
      <c r="AC20" s="75"/>
      <c r="AD20" s="21">
        <f t="shared" si="0"/>
        <v>0</v>
      </c>
    </row>
    <row r="21" spans="1:30" x14ac:dyDescent="0.25">
      <c r="A21" s="68"/>
      <c r="B21" s="77"/>
      <c r="C21" s="69"/>
      <c r="D21" s="69"/>
      <c r="E21" s="71"/>
      <c r="F21" s="77"/>
      <c r="G21" s="69"/>
      <c r="H21" s="69"/>
      <c r="I21" s="71"/>
      <c r="J21" s="77"/>
      <c r="K21" s="69"/>
      <c r="L21" s="69"/>
      <c r="M21" s="71"/>
      <c r="N21" s="77"/>
      <c r="O21" s="69"/>
      <c r="P21" s="69"/>
      <c r="Q21" s="71"/>
      <c r="R21" s="77"/>
      <c r="S21" s="69"/>
      <c r="T21" s="69"/>
      <c r="U21" s="71"/>
      <c r="V21" s="77"/>
      <c r="W21" s="69"/>
      <c r="X21" s="69"/>
      <c r="Y21" s="71"/>
      <c r="Z21" s="77"/>
      <c r="AA21" s="73"/>
      <c r="AB21" s="69"/>
      <c r="AC21" s="75"/>
      <c r="AD21" s="21">
        <f t="shared" si="0"/>
        <v>0</v>
      </c>
    </row>
    <row r="22" spans="1:30" x14ac:dyDescent="0.25">
      <c r="A22" s="68"/>
      <c r="B22" s="77"/>
      <c r="C22" s="69"/>
      <c r="D22" s="69"/>
      <c r="E22" s="71"/>
      <c r="F22" s="77"/>
      <c r="G22" s="69"/>
      <c r="H22" s="69"/>
      <c r="I22" s="71"/>
      <c r="J22" s="77"/>
      <c r="K22" s="69"/>
      <c r="L22" s="69"/>
      <c r="M22" s="71"/>
      <c r="N22" s="77"/>
      <c r="O22" s="69"/>
      <c r="P22" s="69"/>
      <c r="Q22" s="71"/>
      <c r="R22" s="77"/>
      <c r="S22" s="69"/>
      <c r="T22" s="69"/>
      <c r="U22" s="71"/>
      <c r="V22" s="77"/>
      <c r="W22" s="69"/>
      <c r="X22" s="69"/>
      <c r="Y22" s="71"/>
      <c r="Z22" s="77"/>
      <c r="AA22" s="73"/>
      <c r="AB22" s="69"/>
      <c r="AC22" s="75"/>
      <c r="AD22" s="21">
        <f t="shared" si="0"/>
        <v>0</v>
      </c>
    </row>
    <row r="23" spans="1:30" x14ac:dyDescent="0.25">
      <c r="A23" s="68"/>
      <c r="B23" s="77"/>
      <c r="C23" s="69"/>
      <c r="D23" s="69"/>
      <c r="E23" s="71"/>
      <c r="F23" s="77"/>
      <c r="G23" s="69"/>
      <c r="H23" s="69"/>
      <c r="I23" s="71"/>
      <c r="J23" s="77"/>
      <c r="K23" s="69"/>
      <c r="L23" s="69"/>
      <c r="M23" s="71"/>
      <c r="N23" s="77"/>
      <c r="O23" s="69"/>
      <c r="P23" s="69"/>
      <c r="Q23" s="71"/>
      <c r="R23" s="77"/>
      <c r="S23" s="69"/>
      <c r="T23" s="69"/>
      <c r="U23" s="71"/>
      <c r="V23" s="77"/>
      <c r="W23" s="69"/>
      <c r="X23" s="69"/>
      <c r="Y23" s="71"/>
      <c r="Z23" s="77"/>
      <c r="AA23" s="73"/>
      <c r="AB23" s="69"/>
      <c r="AC23" s="75"/>
      <c r="AD23" s="21">
        <f t="shared" si="0"/>
        <v>0</v>
      </c>
    </row>
    <row r="24" spans="1:30" x14ac:dyDescent="0.25">
      <c r="A24" s="68"/>
      <c r="B24" s="77"/>
      <c r="C24" s="69"/>
      <c r="D24" s="69"/>
      <c r="E24" s="71"/>
      <c r="F24" s="77"/>
      <c r="G24" s="69"/>
      <c r="H24" s="69"/>
      <c r="I24" s="71"/>
      <c r="J24" s="77"/>
      <c r="K24" s="69"/>
      <c r="L24" s="69"/>
      <c r="M24" s="71"/>
      <c r="N24" s="77"/>
      <c r="O24" s="69"/>
      <c r="P24" s="69"/>
      <c r="Q24" s="71"/>
      <c r="R24" s="77"/>
      <c r="S24" s="69"/>
      <c r="T24" s="69"/>
      <c r="U24" s="71"/>
      <c r="V24" s="77"/>
      <c r="W24" s="69"/>
      <c r="X24" s="69"/>
      <c r="Y24" s="71"/>
      <c r="Z24" s="77"/>
      <c r="AA24" s="73"/>
      <c r="AB24" s="69"/>
      <c r="AC24" s="75"/>
      <c r="AD24" s="21">
        <f t="shared" si="0"/>
        <v>0</v>
      </c>
    </row>
    <row r="25" spans="1:30" x14ac:dyDescent="0.25">
      <c r="A25" s="68"/>
      <c r="B25" s="77"/>
      <c r="C25" s="69"/>
      <c r="D25" s="69"/>
      <c r="E25" s="71"/>
      <c r="F25" s="77"/>
      <c r="G25" s="69"/>
      <c r="H25" s="69"/>
      <c r="I25" s="71"/>
      <c r="J25" s="77"/>
      <c r="K25" s="69"/>
      <c r="L25" s="69"/>
      <c r="M25" s="71"/>
      <c r="N25" s="77"/>
      <c r="O25" s="69"/>
      <c r="P25" s="69"/>
      <c r="Q25" s="71"/>
      <c r="R25" s="77"/>
      <c r="S25" s="69"/>
      <c r="T25" s="69"/>
      <c r="U25" s="71"/>
      <c r="V25" s="77"/>
      <c r="W25" s="69"/>
      <c r="X25" s="69"/>
      <c r="Y25" s="71"/>
      <c r="Z25" s="77"/>
      <c r="AA25" s="73"/>
      <c r="AB25" s="69"/>
      <c r="AC25" s="75"/>
      <c r="AD25" s="21">
        <f t="shared" si="0"/>
        <v>0</v>
      </c>
    </row>
    <row r="26" spans="1:30" x14ac:dyDescent="0.25">
      <c r="A26" s="68"/>
      <c r="B26" s="77"/>
      <c r="C26" s="69"/>
      <c r="D26" s="69"/>
      <c r="E26" s="71"/>
      <c r="F26" s="77"/>
      <c r="G26" s="69"/>
      <c r="H26" s="69"/>
      <c r="I26" s="71"/>
      <c r="J26" s="77"/>
      <c r="K26" s="69"/>
      <c r="L26" s="69"/>
      <c r="M26" s="71"/>
      <c r="N26" s="77"/>
      <c r="O26" s="69"/>
      <c r="P26" s="69"/>
      <c r="Q26" s="71"/>
      <c r="R26" s="77"/>
      <c r="S26" s="69"/>
      <c r="T26" s="69"/>
      <c r="U26" s="71"/>
      <c r="V26" s="77"/>
      <c r="W26" s="69"/>
      <c r="X26" s="69"/>
      <c r="Y26" s="71"/>
      <c r="Z26" s="77"/>
      <c r="AA26" s="73"/>
      <c r="AB26" s="69"/>
      <c r="AC26" s="75"/>
      <c r="AD26" s="21">
        <f t="shared" si="0"/>
        <v>0</v>
      </c>
    </row>
    <row r="27" spans="1:30" x14ac:dyDescent="0.25">
      <c r="A27" s="68"/>
      <c r="B27" s="77"/>
      <c r="C27" s="69"/>
      <c r="D27" s="69"/>
      <c r="E27" s="71"/>
      <c r="F27" s="77"/>
      <c r="G27" s="69"/>
      <c r="H27" s="69"/>
      <c r="I27" s="71"/>
      <c r="J27" s="77"/>
      <c r="K27" s="69"/>
      <c r="L27" s="69"/>
      <c r="M27" s="71"/>
      <c r="N27" s="77"/>
      <c r="O27" s="69"/>
      <c r="P27" s="69"/>
      <c r="Q27" s="71"/>
      <c r="R27" s="77"/>
      <c r="S27" s="69"/>
      <c r="T27" s="69"/>
      <c r="U27" s="71"/>
      <c r="V27" s="77"/>
      <c r="W27" s="69"/>
      <c r="X27" s="69"/>
      <c r="Y27" s="71"/>
      <c r="Z27" s="77"/>
      <c r="AA27" s="73"/>
      <c r="AB27" s="69"/>
      <c r="AC27" s="75"/>
      <c r="AD27" s="21">
        <f t="shared" si="0"/>
        <v>0</v>
      </c>
    </row>
    <row r="28" spans="1:30" x14ac:dyDescent="0.25">
      <c r="A28" s="68"/>
      <c r="B28" s="77"/>
      <c r="C28" s="69"/>
      <c r="D28" s="69"/>
      <c r="E28" s="71"/>
      <c r="F28" s="77"/>
      <c r="G28" s="69"/>
      <c r="H28" s="69"/>
      <c r="I28" s="71"/>
      <c r="J28" s="77"/>
      <c r="K28" s="69"/>
      <c r="L28" s="69"/>
      <c r="M28" s="71"/>
      <c r="N28" s="77"/>
      <c r="O28" s="69"/>
      <c r="P28" s="69"/>
      <c r="Q28" s="71"/>
      <c r="R28" s="77"/>
      <c r="S28" s="69"/>
      <c r="T28" s="69"/>
      <c r="U28" s="71"/>
      <c r="V28" s="77"/>
      <c r="W28" s="69"/>
      <c r="X28" s="69"/>
      <c r="Y28" s="71"/>
      <c r="Z28" s="77"/>
      <c r="AA28" s="73"/>
      <c r="AB28" s="69"/>
      <c r="AC28" s="75"/>
      <c r="AD28" s="21">
        <f t="shared" si="0"/>
        <v>0</v>
      </c>
    </row>
    <row r="29" spans="1:30" ht="15.75" thickBot="1" x14ac:dyDescent="0.3">
      <c r="A29" s="68"/>
      <c r="B29" s="78"/>
      <c r="C29" s="70"/>
      <c r="D29" s="70"/>
      <c r="E29" s="72"/>
      <c r="F29" s="78"/>
      <c r="G29" s="70"/>
      <c r="H29" s="70"/>
      <c r="I29" s="72"/>
      <c r="J29" s="78"/>
      <c r="K29" s="70"/>
      <c r="L29" s="70"/>
      <c r="M29" s="72"/>
      <c r="N29" s="78"/>
      <c r="O29" s="70"/>
      <c r="P29" s="70"/>
      <c r="Q29" s="72"/>
      <c r="R29" s="78"/>
      <c r="S29" s="70"/>
      <c r="T29" s="70"/>
      <c r="U29" s="72"/>
      <c r="V29" s="78"/>
      <c r="W29" s="70"/>
      <c r="X29" s="70"/>
      <c r="Y29" s="72"/>
      <c r="Z29" s="78"/>
      <c r="AA29" s="74"/>
      <c r="AB29" s="70"/>
      <c r="AC29" s="76"/>
      <c r="AD29" s="22">
        <f t="shared" si="0"/>
        <v>0</v>
      </c>
    </row>
    <row r="30" spans="1:30" x14ac:dyDescent="0.25">
      <c r="C30" s="1">
        <f>SUM(C13:C29)</f>
        <v>0</v>
      </c>
      <c r="E30" s="1">
        <f>SUM(E13:E29)</f>
        <v>0</v>
      </c>
      <c r="G30" s="1">
        <f>SUM(G13:G29)</f>
        <v>2</v>
      </c>
      <c r="I30" s="1">
        <f>SUM(I13:I29)</f>
        <v>0</v>
      </c>
      <c r="K30" s="1">
        <f>SUM(K13:K29)</f>
        <v>0</v>
      </c>
      <c r="M30" s="1">
        <f>SUM(M13:M29)</f>
        <v>6</v>
      </c>
      <c r="O30" s="1">
        <f>SUM(O13:O29)</f>
        <v>0</v>
      </c>
      <c r="P30" s="1"/>
      <c r="Q30" s="1">
        <f>SUM(Q13:Q29)</f>
        <v>4</v>
      </c>
      <c r="R30" s="1"/>
      <c r="S30" s="1">
        <f>SUM(S13:S29)</f>
        <v>0</v>
      </c>
      <c r="T30" s="1"/>
      <c r="U30" s="1">
        <f>SUM(U13:U29)</f>
        <v>4</v>
      </c>
      <c r="V30" s="1"/>
      <c r="W30" s="1">
        <f>SUM(W13:W29)</f>
        <v>4</v>
      </c>
      <c r="X30" s="1"/>
      <c r="Y30" s="1">
        <f>SUM(Y13:Y29)</f>
        <v>0</v>
      </c>
      <c r="Z30" s="1"/>
      <c r="AA30" s="1">
        <f>SUM(AA13:AA29)</f>
        <v>0</v>
      </c>
      <c r="AB30" s="1"/>
      <c r="AC30" s="1">
        <f>SUM(AC13:AC29)</f>
        <v>0</v>
      </c>
      <c r="AD30" s="18">
        <f t="shared" si="0"/>
        <v>20</v>
      </c>
    </row>
  </sheetData>
  <sheetProtection sheet="1" objects="1" scenarios="1" selectLockedCells="1"/>
  <mergeCells count="8">
    <mergeCell ref="V10:X10"/>
    <mergeCell ref="Z10:AB10"/>
    <mergeCell ref="B3:F3"/>
    <mergeCell ref="B10:D10"/>
    <mergeCell ref="F10:H10"/>
    <mergeCell ref="J10:L10"/>
    <mergeCell ref="N10:P10"/>
    <mergeCell ref="R10:T10"/>
  </mergeCells>
  <dataValidations count="2">
    <dataValidation type="list" allowBlank="1" showInputMessage="1" showErrorMessage="1" sqref="A13:A29">
      <formula1>equipe</formula1>
    </dataValidation>
    <dataValidation type="list" allowBlank="1" showInputMessage="1" showErrorMessage="1" sqref="B13:B29 H13:H29 L13:L29 P13:P29 T13:T29 X13:X29 D13:D29 F13:F29 J13:J29 N13:N29 R13:R29 V13:V29 Z13:Z29 AB13:AB29">
      <formula1>taches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outon 1">
              <controlPr defaultSize="0" print="0" autoFill="0" autoPict="0" macro="[0]!Recherche_tache">
                <anchor moveWithCells="1" sizeWithCells="1">
                  <from>
                    <xdr:col>11</xdr:col>
                    <xdr:colOff>9525</xdr:colOff>
                    <xdr:row>6</xdr:row>
                    <xdr:rowOff>171450</xdr:rowOff>
                  </from>
                  <to>
                    <xdr:col>11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D30"/>
  <sheetViews>
    <sheetView topLeftCell="G1" workbookViewId="0">
      <selection activeCell="L13" sqref="L13"/>
    </sheetView>
  </sheetViews>
  <sheetFormatPr baseColWidth="10" defaultRowHeight="15" x14ac:dyDescent="0.25"/>
  <cols>
    <col min="1" max="1" width="11.5703125" style="1"/>
    <col min="2" max="2" width="11.7109375" style="1" customWidth="1"/>
    <col min="3" max="3" width="3.85546875" style="1" customWidth="1"/>
    <col min="4" max="4" width="11.7109375" style="1" customWidth="1"/>
    <col min="5" max="5" width="3.85546875" style="1" customWidth="1"/>
    <col min="6" max="6" width="11.7109375" style="1" customWidth="1"/>
    <col min="7" max="7" width="3.85546875" style="1" customWidth="1"/>
    <col min="8" max="8" width="11.7109375" style="1" customWidth="1"/>
    <col min="9" max="9" width="3.85546875" style="1" customWidth="1"/>
    <col min="10" max="10" width="11.7109375" style="1" customWidth="1"/>
    <col min="11" max="11" width="3.85546875" style="1" customWidth="1"/>
    <col min="12" max="12" width="11.7109375" style="1" customWidth="1"/>
    <col min="13" max="13" width="3.85546875" style="1" customWidth="1"/>
    <col min="14" max="14" width="11.7109375" style="1" customWidth="1"/>
    <col min="15" max="15" width="3.85546875" style="1" customWidth="1"/>
    <col min="16" max="16" width="11.7109375" customWidth="1"/>
    <col min="17" max="17" width="3.85546875" customWidth="1"/>
    <col min="18" max="18" width="11.7109375" customWidth="1"/>
    <col min="19" max="19" width="3.85546875" customWidth="1"/>
    <col min="20" max="20" width="11.7109375" customWidth="1"/>
    <col min="21" max="21" width="3.85546875" customWidth="1"/>
    <col min="22" max="22" width="11.7109375" customWidth="1"/>
    <col min="23" max="23" width="3.85546875" customWidth="1"/>
    <col min="24" max="24" width="11.7109375" customWidth="1"/>
    <col min="25" max="25" width="3.85546875" customWidth="1"/>
    <col min="26" max="26" width="11.7109375" customWidth="1"/>
    <col min="27" max="27" width="4.28515625" customWidth="1"/>
    <col min="28" max="28" width="12.7109375" customWidth="1"/>
    <col min="29" max="29" width="4.7109375" customWidth="1"/>
    <col min="30" max="30" width="6.28515625" customWidth="1"/>
  </cols>
  <sheetData>
    <row r="1" spans="1:30" ht="15.75" thickBot="1" x14ac:dyDescent="0.3">
      <c r="B1" s="43" t="s">
        <v>5</v>
      </c>
      <c r="C1" s="44">
        <v>3</v>
      </c>
      <c r="D1" s="45" t="s">
        <v>7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30" x14ac:dyDescent="0.25"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0" x14ac:dyDescent="0.25">
      <c r="B3" s="83" t="s">
        <v>20</v>
      </c>
      <c r="C3" s="83"/>
      <c r="D3" s="83"/>
      <c r="E3" s="83"/>
      <c r="F3" s="83"/>
      <c r="G3" s="46">
        <v>8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0" x14ac:dyDescent="0.25">
      <c r="B4" s="47"/>
      <c r="C4" s="47"/>
      <c r="D4" s="47"/>
      <c r="E4" s="47"/>
      <c r="F4" s="48" t="str">
        <f>Resume!A5</f>
        <v>Adrien</v>
      </c>
      <c r="G4" s="48">
        <v>0</v>
      </c>
      <c r="J4" s="1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30" x14ac:dyDescent="0.25">
      <c r="B5" s="47"/>
      <c r="C5" s="47"/>
      <c r="D5" s="47"/>
      <c r="E5" s="47"/>
      <c r="F5" s="48" t="str">
        <f>Resume!A6</f>
        <v>Abdoulaye</v>
      </c>
      <c r="G5" s="48">
        <v>0</v>
      </c>
      <c r="J5" s="1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30" x14ac:dyDescent="0.25">
      <c r="B6" s="47"/>
      <c r="C6" s="47"/>
      <c r="D6" s="47"/>
      <c r="E6" s="47"/>
      <c r="F6" s="48" t="str">
        <f>Resume!A7</f>
        <v>Shawez</v>
      </c>
      <c r="G6" s="48">
        <v>0</v>
      </c>
      <c r="J6" s="1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30" x14ac:dyDescent="0.25">
      <c r="B7" s="49"/>
      <c r="C7" s="49"/>
      <c r="D7" s="49"/>
      <c r="E7" s="49"/>
      <c r="F7" s="48" t="str">
        <f>Resume!A8</f>
        <v>Nadir</v>
      </c>
      <c r="G7" s="48">
        <v>0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30" x14ac:dyDescent="0.25">
      <c r="B8" s="49"/>
      <c r="C8" s="49"/>
      <c r="D8" s="49"/>
      <c r="E8" s="49"/>
      <c r="F8" s="48" t="str">
        <f>Resume!A9</f>
        <v>L'équipe</v>
      </c>
      <c r="G8" s="48">
        <v>14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30" ht="15.75" thickBot="1" x14ac:dyDescent="0.3">
      <c r="F9" s="1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30" ht="30" x14ac:dyDescent="0.25">
      <c r="A10" s="12" t="s">
        <v>24</v>
      </c>
      <c r="B10" s="84" t="s">
        <v>25</v>
      </c>
      <c r="C10" s="85"/>
      <c r="D10" s="86"/>
      <c r="E10" s="16">
        <f>C30+E30</f>
        <v>2</v>
      </c>
      <c r="F10" s="84" t="s">
        <v>26</v>
      </c>
      <c r="G10" s="85"/>
      <c r="H10" s="86"/>
      <c r="I10" s="16">
        <f>G30+I30</f>
        <v>3</v>
      </c>
      <c r="J10" s="80" t="s">
        <v>27</v>
      </c>
      <c r="K10" s="81"/>
      <c r="L10" s="82"/>
      <c r="M10" s="16">
        <f>K30+M30</f>
        <v>3</v>
      </c>
      <c r="N10" s="80" t="s">
        <v>28</v>
      </c>
      <c r="O10" s="81"/>
      <c r="P10" s="82"/>
      <c r="Q10" s="16">
        <f>O30+Q30</f>
        <v>3</v>
      </c>
      <c r="R10" s="80" t="s">
        <v>29</v>
      </c>
      <c r="S10" s="81"/>
      <c r="T10" s="82"/>
      <c r="U10" s="16">
        <f>S30+U30</f>
        <v>0</v>
      </c>
      <c r="V10" s="80" t="s">
        <v>30</v>
      </c>
      <c r="W10" s="81"/>
      <c r="X10" s="82"/>
      <c r="Y10" s="16">
        <f>W30+Y30</f>
        <v>3</v>
      </c>
      <c r="Z10" s="80" t="s">
        <v>31</v>
      </c>
      <c r="AA10" s="81"/>
      <c r="AB10" s="82"/>
      <c r="AC10" s="16">
        <f>AA30+AC30</f>
        <v>0</v>
      </c>
      <c r="AD10" s="19"/>
    </row>
    <row r="11" spans="1:30" x14ac:dyDescent="0.25">
      <c r="A11" s="13"/>
      <c r="B11" s="14">
        <f>Resume!D1+($C$1-1)*7</f>
        <v>43069</v>
      </c>
      <c r="C11" s="6"/>
      <c r="D11" s="7"/>
      <c r="E11" s="17"/>
      <c r="F11" s="14">
        <f>B11+1</f>
        <v>43070</v>
      </c>
      <c r="G11" s="6"/>
      <c r="H11" s="7"/>
      <c r="I11" s="15"/>
      <c r="J11" s="14">
        <f>F11+1</f>
        <v>43071</v>
      </c>
      <c r="K11" s="6"/>
      <c r="L11" s="7"/>
      <c r="M11" s="15"/>
      <c r="N11" s="14">
        <f>J11+1</f>
        <v>43072</v>
      </c>
      <c r="O11" s="6"/>
      <c r="P11" s="7"/>
      <c r="Q11" s="15"/>
      <c r="R11" s="14">
        <f>N11+1</f>
        <v>43073</v>
      </c>
      <c r="S11" s="6"/>
      <c r="T11" s="7"/>
      <c r="U11" s="15"/>
      <c r="V11" s="14">
        <f>R11+1</f>
        <v>43074</v>
      </c>
      <c r="W11" s="6"/>
      <c r="X11" s="7"/>
      <c r="Y11" s="15"/>
      <c r="Z11" s="14">
        <f>V11+1</f>
        <v>43075</v>
      </c>
      <c r="AA11" s="9"/>
      <c r="AB11" s="7"/>
      <c r="AC11" s="10"/>
      <c r="AD11" s="20" t="s">
        <v>22</v>
      </c>
    </row>
    <row r="12" spans="1:30" s="8" customFormat="1" ht="30" x14ac:dyDescent="0.25">
      <c r="A12" s="36" t="s">
        <v>4</v>
      </c>
      <c r="B12" s="37" t="s">
        <v>33</v>
      </c>
      <c r="C12" s="38" t="s">
        <v>16</v>
      </c>
      <c r="D12" s="38" t="s">
        <v>34</v>
      </c>
      <c r="E12" s="39" t="s">
        <v>16</v>
      </c>
      <c r="F12" s="37" t="s">
        <v>35</v>
      </c>
      <c r="G12" s="38" t="s">
        <v>16</v>
      </c>
      <c r="H12" s="38" t="s">
        <v>36</v>
      </c>
      <c r="I12" s="39" t="s">
        <v>16</v>
      </c>
      <c r="J12" s="37" t="s">
        <v>8</v>
      </c>
      <c r="K12" s="38" t="s">
        <v>16</v>
      </c>
      <c r="L12" s="38" t="s">
        <v>9</v>
      </c>
      <c r="M12" s="39" t="s">
        <v>16</v>
      </c>
      <c r="N12" s="37" t="s">
        <v>37</v>
      </c>
      <c r="O12" s="38" t="s">
        <v>16</v>
      </c>
      <c r="P12" s="38" t="s">
        <v>38</v>
      </c>
      <c r="Q12" s="39" t="s">
        <v>16</v>
      </c>
      <c r="R12" s="37" t="s">
        <v>10</v>
      </c>
      <c r="S12" s="38" t="s">
        <v>16</v>
      </c>
      <c r="T12" s="38" t="s">
        <v>11</v>
      </c>
      <c r="U12" s="39" t="s">
        <v>16</v>
      </c>
      <c r="V12" s="37" t="s">
        <v>12</v>
      </c>
      <c r="W12" s="38" t="s">
        <v>16</v>
      </c>
      <c r="X12" s="38" t="s">
        <v>13</v>
      </c>
      <c r="Y12" s="39" t="s">
        <v>16</v>
      </c>
      <c r="Z12" s="37" t="s">
        <v>14</v>
      </c>
      <c r="AA12" s="40" t="s">
        <v>16</v>
      </c>
      <c r="AB12" s="38" t="s">
        <v>15</v>
      </c>
      <c r="AC12" s="41" t="s">
        <v>16</v>
      </c>
      <c r="AD12" s="42" t="s">
        <v>16</v>
      </c>
    </row>
    <row r="13" spans="1:30" ht="90.75" x14ac:dyDescent="0.25">
      <c r="A13" s="68" t="s">
        <v>42</v>
      </c>
      <c r="B13" s="77"/>
      <c r="C13" s="69"/>
      <c r="D13" s="69" t="s">
        <v>69</v>
      </c>
      <c r="E13" s="71">
        <v>2</v>
      </c>
      <c r="F13" s="77"/>
      <c r="G13" s="69"/>
      <c r="H13" s="69" t="s">
        <v>82</v>
      </c>
      <c r="I13" s="71">
        <v>3</v>
      </c>
      <c r="J13" s="77"/>
      <c r="K13" s="69"/>
      <c r="L13" s="69" t="s">
        <v>80</v>
      </c>
      <c r="M13" s="71">
        <v>3</v>
      </c>
      <c r="N13" s="77"/>
      <c r="O13" s="69"/>
      <c r="P13" s="69" t="s">
        <v>80</v>
      </c>
      <c r="Q13" s="71">
        <v>3</v>
      </c>
      <c r="R13" s="77"/>
      <c r="S13" s="69"/>
      <c r="T13" s="69"/>
      <c r="U13" s="71"/>
      <c r="V13" s="77"/>
      <c r="W13" s="69"/>
      <c r="X13" s="69" t="s">
        <v>80</v>
      </c>
      <c r="Y13" s="71">
        <v>3</v>
      </c>
      <c r="Z13" s="77"/>
      <c r="AA13" s="73"/>
      <c r="AB13" s="69"/>
      <c r="AC13" s="75"/>
      <c r="AD13" s="21">
        <f>C13+E13+G13+I13+K13+M13+O13+Q13+S13+U13+W13+Y13+AA13+AC13</f>
        <v>14</v>
      </c>
    </row>
    <row r="14" spans="1:30" x14ac:dyDescent="0.25">
      <c r="A14" s="68"/>
      <c r="B14" s="77"/>
      <c r="C14" s="69"/>
      <c r="D14" s="69"/>
      <c r="E14" s="71"/>
      <c r="F14" s="77"/>
      <c r="G14" s="69"/>
      <c r="H14" s="69"/>
      <c r="I14" s="71"/>
      <c r="J14" s="77"/>
      <c r="K14" s="69"/>
      <c r="L14" s="69"/>
      <c r="M14" s="71"/>
      <c r="N14" s="77"/>
      <c r="O14" s="69"/>
      <c r="P14" s="69"/>
      <c r="Q14" s="71"/>
      <c r="R14" s="77"/>
      <c r="S14" s="69"/>
      <c r="T14" s="69"/>
      <c r="U14" s="71"/>
      <c r="V14" s="77"/>
      <c r="W14" s="69"/>
      <c r="X14" s="69"/>
      <c r="Y14" s="71"/>
      <c r="Z14" s="77"/>
      <c r="AA14" s="73"/>
      <c r="AB14" s="69"/>
      <c r="AC14" s="75"/>
      <c r="AD14" s="21">
        <f>C14+E14+G14+I14+K14+M14+O14+Q14+S14+U14+W14+Y14+AA14+AC14</f>
        <v>0</v>
      </c>
    </row>
    <row r="15" spans="1:30" x14ac:dyDescent="0.25">
      <c r="A15" s="68"/>
      <c r="B15" s="77"/>
      <c r="C15" s="69"/>
      <c r="D15" s="69"/>
      <c r="E15" s="71"/>
      <c r="F15" s="77"/>
      <c r="G15" s="69"/>
      <c r="H15" s="69"/>
      <c r="I15" s="71"/>
      <c r="J15" s="77"/>
      <c r="K15" s="69"/>
      <c r="L15" s="69"/>
      <c r="M15" s="71"/>
      <c r="N15" s="77"/>
      <c r="O15" s="69"/>
      <c r="P15" s="69"/>
      <c r="Q15" s="71"/>
      <c r="R15" s="77"/>
      <c r="S15" s="69"/>
      <c r="T15" s="69"/>
      <c r="U15" s="71"/>
      <c r="V15" s="77"/>
      <c r="W15" s="69"/>
      <c r="X15" s="69"/>
      <c r="Y15" s="71"/>
      <c r="Z15" s="77"/>
      <c r="AA15" s="73"/>
      <c r="AB15" s="69"/>
      <c r="AC15" s="75"/>
      <c r="AD15" s="21">
        <f t="shared" ref="AD15:AD30" si="0">C15+E15+G15+I15+K15+M15+O15+Q15+S15+U15+W15+Y15+AA15+AC15</f>
        <v>0</v>
      </c>
    </row>
    <row r="16" spans="1:30" x14ac:dyDescent="0.25">
      <c r="A16" s="68"/>
      <c r="B16" s="77"/>
      <c r="C16" s="69"/>
      <c r="D16" s="69"/>
      <c r="E16" s="71"/>
      <c r="F16" s="77"/>
      <c r="G16" s="69"/>
      <c r="H16" s="69"/>
      <c r="I16" s="71"/>
      <c r="J16" s="77"/>
      <c r="K16" s="69"/>
      <c r="L16" s="69"/>
      <c r="M16" s="71"/>
      <c r="N16" s="77"/>
      <c r="O16" s="69"/>
      <c r="P16" s="69"/>
      <c r="Q16" s="71"/>
      <c r="R16" s="77"/>
      <c r="S16" s="69"/>
      <c r="T16" s="69"/>
      <c r="U16" s="71"/>
      <c r="V16" s="77"/>
      <c r="W16" s="69"/>
      <c r="X16" s="69"/>
      <c r="Y16" s="71"/>
      <c r="Z16" s="77"/>
      <c r="AA16" s="69"/>
      <c r="AB16" s="69"/>
      <c r="AC16" s="71"/>
      <c r="AD16" s="21">
        <f t="shared" si="0"/>
        <v>0</v>
      </c>
    </row>
    <row r="17" spans="1:30" x14ac:dyDescent="0.25">
      <c r="A17" s="68"/>
      <c r="B17" s="77"/>
      <c r="C17" s="69"/>
      <c r="D17" s="69"/>
      <c r="E17" s="71"/>
      <c r="F17" s="77"/>
      <c r="G17" s="69"/>
      <c r="H17" s="69"/>
      <c r="I17" s="71"/>
      <c r="J17" s="77"/>
      <c r="K17" s="69"/>
      <c r="L17" s="69"/>
      <c r="M17" s="71"/>
      <c r="N17" s="77"/>
      <c r="O17" s="69"/>
      <c r="P17" s="69"/>
      <c r="Q17" s="71"/>
      <c r="R17" s="77"/>
      <c r="S17" s="69"/>
      <c r="T17" s="69"/>
      <c r="U17" s="71"/>
      <c r="V17" s="77"/>
      <c r="W17" s="69"/>
      <c r="X17" s="69"/>
      <c r="Y17" s="71"/>
      <c r="Z17" s="77"/>
      <c r="AA17" s="73"/>
      <c r="AB17" s="69"/>
      <c r="AC17" s="75"/>
      <c r="AD17" s="21">
        <f t="shared" si="0"/>
        <v>0</v>
      </c>
    </row>
    <row r="18" spans="1:30" x14ac:dyDescent="0.25">
      <c r="A18" s="68"/>
      <c r="B18" s="77"/>
      <c r="C18" s="69"/>
      <c r="D18" s="69"/>
      <c r="E18" s="71"/>
      <c r="F18" s="77"/>
      <c r="G18" s="69"/>
      <c r="H18" s="69"/>
      <c r="I18" s="71"/>
      <c r="J18" s="77"/>
      <c r="K18" s="69"/>
      <c r="L18" s="69"/>
      <c r="M18" s="71"/>
      <c r="N18" s="77"/>
      <c r="O18" s="69"/>
      <c r="P18" s="69"/>
      <c r="Q18" s="71"/>
      <c r="R18" s="77"/>
      <c r="S18" s="69"/>
      <c r="T18" s="69"/>
      <c r="U18" s="71"/>
      <c r="V18" s="77"/>
      <c r="W18" s="69"/>
      <c r="X18" s="69"/>
      <c r="Y18" s="71"/>
      <c r="Z18" s="77"/>
      <c r="AA18" s="73"/>
      <c r="AB18" s="69"/>
      <c r="AC18" s="75"/>
      <c r="AD18" s="21">
        <f t="shared" si="0"/>
        <v>0</v>
      </c>
    </row>
    <row r="19" spans="1:30" x14ac:dyDescent="0.25">
      <c r="A19" s="68"/>
      <c r="B19" s="77"/>
      <c r="C19" s="69"/>
      <c r="D19" s="69"/>
      <c r="E19" s="71"/>
      <c r="F19" s="77"/>
      <c r="G19" s="69"/>
      <c r="H19" s="69"/>
      <c r="I19" s="71"/>
      <c r="J19" s="77"/>
      <c r="K19" s="69"/>
      <c r="L19" s="69"/>
      <c r="M19" s="71"/>
      <c r="N19" s="77"/>
      <c r="O19" s="69"/>
      <c r="P19" s="69"/>
      <c r="Q19" s="71"/>
      <c r="R19" s="77"/>
      <c r="S19" s="69"/>
      <c r="T19" s="69"/>
      <c r="U19" s="71"/>
      <c r="V19" s="77"/>
      <c r="W19" s="69"/>
      <c r="X19" s="69"/>
      <c r="Y19" s="71"/>
      <c r="Z19" s="77"/>
      <c r="AA19" s="73"/>
      <c r="AB19" s="69"/>
      <c r="AC19" s="75"/>
      <c r="AD19" s="21">
        <f t="shared" si="0"/>
        <v>0</v>
      </c>
    </row>
    <row r="20" spans="1:30" x14ac:dyDescent="0.25">
      <c r="A20" s="68"/>
      <c r="B20" s="77"/>
      <c r="C20" s="69"/>
      <c r="D20" s="69"/>
      <c r="E20" s="71"/>
      <c r="F20" s="77"/>
      <c r="G20" s="69"/>
      <c r="H20" s="69"/>
      <c r="I20" s="71"/>
      <c r="J20" s="77"/>
      <c r="K20" s="69"/>
      <c r="L20" s="69"/>
      <c r="M20" s="71"/>
      <c r="N20" s="77"/>
      <c r="O20" s="69"/>
      <c r="P20" s="69"/>
      <c r="Q20" s="71"/>
      <c r="R20" s="77"/>
      <c r="S20" s="69"/>
      <c r="T20" s="69"/>
      <c r="U20" s="71"/>
      <c r="V20" s="77"/>
      <c r="W20" s="69"/>
      <c r="X20" s="69"/>
      <c r="Y20" s="71"/>
      <c r="Z20" s="77"/>
      <c r="AA20" s="73"/>
      <c r="AB20" s="69"/>
      <c r="AC20" s="75"/>
      <c r="AD20" s="21">
        <f t="shared" si="0"/>
        <v>0</v>
      </c>
    </row>
    <row r="21" spans="1:30" x14ac:dyDescent="0.25">
      <c r="A21" s="68"/>
      <c r="B21" s="77"/>
      <c r="C21" s="69"/>
      <c r="D21" s="69"/>
      <c r="E21" s="71"/>
      <c r="F21" s="77"/>
      <c r="G21" s="69"/>
      <c r="H21" s="69"/>
      <c r="I21" s="71"/>
      <c r="J21" s="77"/>
      <c r="K21" s="69"/>
      <c r="L21" s="69"/>
      <c r="M21" s="71"/>
      <c r="N21" s="77"/>
      <c r="O21" s="69"/>
      <c r="P21" s="69"/>
      <c r="Q21" s="71"/>
      <c r="R21" s="77"/>
      <c r="S21" s="69"/>
      <c r="T21" s="69"/>
      <c r="U21" s="71"/>
      <c r="V21" s="77"/>
      <c r="W21" s="69"/>
      <c r="X21" s="69"/>
      <c r="Y21" s="71"/>
      <c r="Z21" s="77"/>
      <c r="AA21" s="73"/>
      <c r="AB21" s="69"/>
      <c r="AC21" s="75"/>
      <c r="AD21" s="21">
        <f t="shared" si="0"/>
        <v>0</v>
      </c>
    </row>
    <row r="22" spans="1:30" x14ac:dyDescent="0.25">
      <c r="A22" s="68"/>
      <c r="B22" s="77"/>
      <c r="C22" s="69"/>
      <c r="D22" s="69"/>
      <c r="E22" s="71"/>
      <c r="F22" s="77"/>
      <c r="G22" s="69"/>
      <c r="H22" s="69"/>
      <c r="I22" s="71"/>
      <c r="J22" s="77"/>
      <c r="K22" s="69"/>
      <c r="L22" s="69"/>
      <c r="M22" s="71"/>
      <c r="N22" s="77"/>
      <c r="O22" s="69"/>
      <c r="P22" s="69"/>
      <c r="Q22" s="71"/>
      <c r="R22" s="77"/>
      <c r="S22" s="69"/>
      <c r="T22" s="69"/>
      <c r="U22" s="71"/>
      <c r="V22" s="77"/>
      <c r="W22" s="69"/>
      <c r="X22" s="69"/>
      <c r="Y22" s="71"/>
      <c r="Z22" s="77"/>
      <c r="AA22" s="73"/>
      <c r="AB22" s="69"/>
      <c r="AC22" s="75"/>
      <c r="AD22" s="21">
        <f t="shared" si="0"/>
        <v>0</v>
      </c>
    </row>
    <row r="23" spans="1:30" x14ac:dyDescent="0.25">
      <c r="A23" s="68"/>
      <c r="B23" s="77"/>
      <c r="C23" s="69"/>
      <c r="D23" s="69"/>
      <c r="E23" s="71"/>
      <c r="F23" s="77"/>
      <c r="G23" s="69"/>
      <c r="H23" s="69"/>
      <c r="I23" s="71"/>
      <c r="J23" s="77"/>
      <c r="K23" s="69"/>
      <c r="L23" s="69"/>
      <c r="M23" s="71"/>
      <c r="N23" s="77"/>
      <c r="O23" s="69"/>
      <c r="P23" s="69"/>
      <c r="Q23" s="71"/>
      <c r="R23" s="77"/>
      <c r="S23" s="69"/>
      <c r="T23" s="69"/>
      <c r="U23" s="71"/>
      <c r="V23" s="77"/>
      <c r="W23" s="69"/>
      <c r="X23" s="69"/>
      <c r="Y23" s="71"/>
      <c r="Z23" s="77"/>
      <c r="AA23" s="73"/>
      <c r="AB23" s="69"/>
      <c r="AC23" s="75"/>
      <c r="AD23" s="21">
        <f t="shared" si="0"/>
        <v>0</v>
      </c>
    </row>
    <row r="24" spans="1:30" x14ac:dyDescent="0.25">
      <c r="A24" s="68"/>
      <c r="B24" s="77"/>
      <c r="C24" s="69"/>
      <c r="D24" s="69"/>
      <c r="E24" s="71"/>
      <c r="F24" s="77"/>
      <c r="G24" s="69"/>
      <c r="H24" s="69"/>
      <c r="I24" s="71"/>
      <c r="J24" s="77"/>
      <c r="K24" s="69"/>
      <c r="L24" s="69"/>
      <c r="M24" s="71"/>
      <c r="N24" s="77"/>
      <c r="O24" s="69"/>
      <c r="P24" s="69"/>
      <c r="Q24" s="71"/>
      <c r="R24" s="77"/>
      <c r="S24" s="69"/>
      <c r="T24" s="69"/>
      <c r="U24" s="71"/>
      <c r="V24" s="77"/>
      <c r="W24" s="69"/>
      <c r="X24" s="69"/>
      <c r="Y24" s="71"/>
      <c r="Z24" s="77"/>
      <c r="AA24" s="73"/>
      <c r="AB24" s="69"/>
      <c r="AC24" s="75"/>
      <c r="AD24" s="21">
        <f t="shared" si="0"/>
        <v>0</v>
      </c>
    </row>
    <row r="25" spans="1:30" x14ac:dyDescent="0.25">
      <c r="A25" s="68"/>
      <c r="B25" s="77"/>
      <c r="C25" s="69"/>
      <c r="D25" s="69"/>
      <c r="E25" s="71"/>
      <c r="F25" s="77"/>
      <c r="G25" s="69"/>
      <c r="H25" s="69"/>
      <c r="I25" s="71"/>
      <c r="J25" s="77"/>
      <c r="K25" s="69"/>
      <c r="L25" s="69"/>
      <c r="M25" s="71"/>
      <c r="N25" s="77"/>
      <c r="O25" s="69"/>
      <c r="P25" s="69"/>
      <c r="Q25" s="71"/>
      <c r="R25" s="77"/>
      <c r="S25" s="69"/>
      <c r="T25" s="69"/>
      <c r="U25" s="71"/>
      <c r="V25" s="77"/>
      <c r="W25" s="69"/>
      <c r="X25" s="69"/>
      <c r="Y25" s="71"/>
      <c r="Z25" s="77"/>
      <c r="AA25" s="73"/>
      <c r="AB25" s="69"/>
      <c r="AC25" s="75"/>
      <c r="AD25" s="21">
        <f t="shared" si="0"/>
        <v>0</v>
      </c>
    </row>
    <row r="26" spans="1:30" x14ac:dyDescent="0.25">
      <c r="A26" s="68"/>
      <c r="B26" s="77"/>
      <c r="C26" s="69"/>
      <c r="D26" s="69"/>
      <c r="E26" s="71"/>
      <c r="F26" s="77"/>
      <c r="G26" s="69"/>
      <c r="H26" s="69"/>
      <c r="I26" s="71"/>
      <c r="J26" s="77"/>
      <c r="K26" s="69"/>
      <c r="L26" s="69"/>
      <c r="M26" s="71"/>
      <c r="N26" s="77"/>
      <c r="O26" s="69"/>
      <c r="P26" s="69"/>
      <c r="Q26" s="71"/>
      <c r="R26" s="77"/>
      <c r="S26" s="69"/>
      <c r="T26" s="69"/>
      <c r="U26" s="71"/>
      <c r="V26" s="77"/>
      <c r="W26" s="69"/>
      <c r="X26" s="69"/>
      <c r="Y26" s="71"/>
      <c r="Z26" s="77"/>
      <c r="AA26" s="73"/>
      <c r="AB26" s="69"/>
      <c r="AC26" s="75"/>
      <c r="AD26" s="21">
        <f t="shared" si="0"/>
        <v>0</v>
      </c>
    </row>
    <row r="27" spans="1:30" x14ac:dyDescent="0.25">
      <c r="A27" s="68"/>
      <c r="B27" s="77"/>
      <c r="C27" s="69"/>
      <c r="D27" s="69"/>
      <c r="E27" s="71"/>
      <c r="F27" s="77"/>
      <c r="G27" s="69"/>
      <c r="H27" s="69"/>
      <c r="I27" s="71"/>
      <c r="J27" s="77"/>
      <c r="K27" s="69"/>
      <c r="L27" s="69"/>
      <c r="M27" s="71"/>
      <c r="N27" s="77"/>
      <c r="O27" s="69"/>
      <c r="P27" s="69"/>
      <c r="Q27" s="71"/>
      <c r="R27" s="77"/>
      <c r="S27" s="69"/>
      <c r="T27" s="69"/>
      <c r="U27" s="71"/>
      <c r="V27" s="77"/>
      <c r="W27" s="69"/>
      <c r="X27" s="69"/>
      <c r="Y27" s="71"/>
      <c r="Z27" s="77"/>
      <c r="AA27" s="73"/>
      <c r="AB27" s="69"/>
      <c r="AC27" s="75"/>
      <c r="AD27" s="21">
        <f t="shared" si="0"/>
        <v>0</v>
      </c>
    </row>
    <row r="28" spans="1:30" x14ac:dyDescent="0.25">
      <c r="A28" s="68"/>
      <c r="B28" s="77"/>
      <c r="C28" s="69"/>
      <c r="D28" s="69"/>
      <c r="E28" s="71"/>
      <c r="F28" s="77"/>
      <c r="G28" s="69"/>
      <c r="H28" s="69"/>
      <c r="I28" s="71"/>
      <c r="J28" s="77"/>
      <c r="K28" s="69"/>
      <c r="L28" s="69"/>
      <c r="M28" s="71"/>
      <c r="N28" s="77"/>
      <c r="O28" s="69"/>
      <c r="P28" s="69"/>
      <c r="Q28" s="71"/>
      <c r="R28" s="77"/>
      <c r="S28" s="69"/>
      <c r="T28" s="69"/>
      <c r="U28" s="71"/>
      <c r="V28" s="77"/>
      <c r="W28" s="69"/>
      <c r="X28" s="69"/>
      <c r="Y28" s="71"/>
      <c r="Z28" s="77"/>
      <c r="AA28" s="73"/>
      <c r="AB28" s="69"/>
      <c r="AC28" s="75"/>
      <c r="AD28" s="21">
        <f t="shared" si="0"/>
        <v>0</v>
      </c>
    </row>
    <row r="29" spans="1:30" ht="15.75" thickBot="1" x14ac:dyDescent="0.3">
      <c r="A29" s="68"/>
      <c r="B29" s="78"/>
      <c r="C29" s="70"/>
      <c r="D29" s="70"/>
      <c r="E29" s="72"/>
      <c r="F29" s="78"/>
      <c r="G29" s="70"/>
      <c r="H29" s="70"/>
      <c r="I29" s="72"/>
      <c r="J29" s="78"/>
      <c r="K29" s="70"/>
      <c r="L29" s="70"/>
      <c r="M29" s="72"/>
      <c r="N29" s="78"/>
      <c r="O29" s="70"/>
      <c r="P29" s="70"/>
      <c r="Q29" s="72"/>
      <c r="R29" s="78"/>
      <c r="S29" s="70"/>
      <c r="T29" s="70"/>
      <c r="U29" s="72"/>
      <c r="V29" s="78"/>
      <c r="W29" s="70"/>
      <c r="X29" s="70"/>
      <c r="Y29" s="72"/>
      <c r="Z29" s="78"/>
      <c r="AA29" s="74"/>
      <c r="AB29" s="70"/>
      <c r="AC29" s="76"/>
      <c r="AD29" s="22">
        <f t="shared" si="0"/>
        <v>0</v>
      </c>
    </row>
    <row r="30" spans="1:30" x14ac:dyDescent="0.25">
      <c r="C30" s="1">
        <f>SUM(C13:C29)</f>
        <v>0</v>
      </c>
      <c r="E30" s="1">
        <f>SUM(E13:E29)</f>
        <v>2</v>
      </c>
      <c r="G30" s="1">
        <f>SUM(G13:G29)</f>
        <v>0</v>
      </c>
      <c r="I30" s="1">
        <f>SUM(I13:I29)</f>
        <v>3</v>
      </c>
      <c r="K30" s="1">
        <f>SUM(K13:K29)</f>
        <v>0</v>
      </c>
      <c r="M30" s="1">
        <f>SUM(M13:M29)</f>
        <v>3</v>
      </c>
      <c r="O30" s="1">
        <f>SUM(O13:O29)</f>
        <v>0</v>
      </c>
      <c r="P30" s="1"/>
      <c r="Q30" s="1">
        <f>SUM(Q13:Q29)</f>
        <v>3</v>
      </c>
      <c r="R30" s="1"/>
      <c r="S30" s="1">
        <f>SUM(S13:S29)</f>
        <v>0</v>
      </c>
      <c r="T30" s="1"/>
      <c r="U30" s="1">
        <f>SUM(U13:U29)</f>
        <v>0</v>
      </c>
      <c r="V30" s="1"/>
      <c r="W30" s="1">
        <f>SUM(W13:W29)</f>
        <v>0</v>
      </c>
      <c r="X30" s="1"/>
      <c r="Y30" s="1">
        <f>SUM(Y13:Y29)</f>
        <v>3</v>
      </c>
      <c r="Z30" s="1"/>
      <c r="AA30" s="1">
        <f>SUM(AA13:AA29)</f>
        <v>0</v>
      </c>
      <c r="AB30" s="1"/>
      <c r="AC30" s="1">
        <f>SUM(AC13:AC29)</f>
        <v>0</v>
      </c>
      <c r="AD30" s="18">
        <f t="shared" si="0"/>
        <v>14</v>
      </c>
    </row>
  </sheetData>
  <sheetProtection sheet="1" objects="1" scenarios="1" selectLockedCells="1"/>
  <mergeCells count="8">
    <mergeCell ref="B3:F3"/>
    <mergeCell ref="Z10:AB10"/>
    <mergeCell ref="B10:D10"/>
    <mergeCell ref="F10:H10"/>
    <mergeCell ref="J10:L10"/>
    <mergeCell ref="N10:P10"/>
    <mergeCell ref="R10:T10"/>
    <mergeCell ref="V10:X10"/>
  </mergeCells>
  <dataValidations count="2">
    <dataValidation type="list" allowBlank="1" showInputMessage="1" showErrorMessage="1" sqref="A13:A29">
      <formula1>equipe</formula1>
    </dataValidation>
    <dataValidation type="list" allowBlank="1" showInputMessage="1" showErrorMessage="1" sqref="B13:B29 H13:H29 L13:L29 AB13:AB29 T13:T29 P13:P29 D13:D29 F13:F29 J13:J29 N13:N29 R13:R29 V13:V29 Z13:Z29 X13:X29">
      <formula1>taches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outon 2">
              <controlPr defaultSize="0" print="0" autoFill="0" autoPict="0" macro="[0]!Recherche_tache">
                <anchor moveWithCells="1" sizeWithCells="1">
                  <from>
                    <xdr:col>11</xdr:col>
                    <xdr:colOff>9525</xdr:colOff>
                    <xdr:row>6</xdr:row>
                    <xdr:rowOff>171450</xdr:rowOff>
                  </from>
                  <to>
                    <xdr:col>11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AD30"/>
  <sheetViews>
    <sheetView topLeftCell="E1" workbookViewId="0">
      <selection activeCell="E13" sqref="E13"/>
    </sheetView>
  </sheetViews>
  <sheetFormatPr baseColWidth="10" defaultRowHeight="15" x14ac:dyDescent="0.25"/>
  <cols>
    <col min="2" max="2" width="11.7109375" customWidth="1"/>
    <col min="3" max="3" width="3.85546875" customWidth="1"/>
    <col min="4" max="4" width="11.7109375" customWidth="1"/>
    <col min="5" max="5" width="3.85546875" customWidth="1"/>
    <col min="6" max="6" width="11.7109375" customWidth="1"/>
    <col min="7" max="7" width="3.85546875" customWidth="1"/>
    <col min="8" max="8" width="11.7109375" customWidth="1"/>
    <col min="9" max="9" width="3.85546875" customWidth="1"/>
    <col min="10" max="10" width="11.7109375" customWidth="1"/>
    <col min="11" max="11" width="3.85546875" customWidth="1"/>
    <col min="12" max="12" width="11.7109375" customWidth="1"/>
    <col min="13" max="13" width="3.85546875" customWidth="1"/>
    <col min="14" max="14" width="11.7109375" customWidth="1"/>
    <col min="15" max="15" width="3.85546875" customWidth="1"/>
    <col min="16" max="16" width="11.7109375" customWidth="1"/>
    <col min="17" max="17" width="3.85546875" customWidth="1"/>
    <col min="18" max="18" width="11.7109375" customWidth="1"/>
    <col min="19" max="19" width="3.85546875" customWidth="1"/>
    <col min="20" max="20" width="11.7109375" customWidth="1"/>
    <col min="21" max="21" width="3.85546875" customWidth="1"/>
    <col min="22" max="22" width="11.7109375" customWidth="1"/>
    <col min="23" max="23" width="3.85546875" customWidth="1"/>
    <col min="24" max="24" width="11.7109375" customWidth="1"/>
    <col min="25" max="25" width="3.85546875" customWidth="1"/>
    <col min="26" max="26" width="11.5703125" customWidth="1"/>
    <col min="27" max="27" width="4.42578125" customWidth="1"/>
    <col min="28" max="28" width="11.28515625" customWidth="1"/>
    <col min="29" max="29" width="4" customWidth="1"/>
    <col min="30" max="30" width="7.5703125" customWidth="1"/>
  </cols>
  <sheetData>
    <row r="1" spans="1:30" ht="15.75" thickBot="1" x14ac:dyDescent="0.3">
      <c r="A1" s="1"/>
      <c r="B1" s="43" t="s">
        <v>5</v>
      </c>
      <c r="C1" s="44">
        <v>4</v>
      </c>
      <c r="D1" s="45" t="s">
        <v>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3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0" x14ac:dyDescent="0.25">
      <c r="A3" s="1"/>
      <c r="B3" s="83" t="s">
        <v>20</v>
      </c>
      <c r="C3" s="83"/>
      <c r="D3" s="83"/>
      <c r="E3" s="83"/>
      <c r="F3" s="83"/>
      <c r="G3" s="46">
        <f>E10+I10+M10+Q10+U10+Y10+AC10</f>
        <v>13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0" x14ac:dyDescent="0.25">
      <c r="A4" s="1"/>
      <c r="B4" s="47"/>
      <c r="C4" s="47"/>
      <c r="D4" s="47"/>
      <c r="E4" s="47"/>
      <c r="F4" s="48" t="str">
        <f>Resume!A5</f>
        <v>Adrien</v>
      </c>
      <c r="G4" s="48">
        <v>0</v>
      </c>
      <c r="H4" s="1"/>
      <c r="I4" s="1"/>
      <c r="J4" s="1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30" x14ac:dyDescent="0.25">
      <c r="A5" s="1"/>
      <c r="B5" s="47"/>
      <c r="C5" s="47"/>
      <c r="D5" s="47"/>
      <c r="E5" s="47"/>
      <c r="F5" s="48" t="str">
        <f>Resume!A6</f>
        <v>Abdoulaye</v>
      </c>
      <c r="G5" s="48">
        <v>0</v>
      </c>
      <c r="H5" s="1"/>
      <c r="I5" s="1"/>
      <c r="J5" s="1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30" x14ac:dyDescent="0.25">
      <c r="A6" s="1"/>
      <c r="B6" s="47"/>
      <c r="C6" s="47"/>
      <c r="D6" s="47"/>
      <c r="E6" s="47"/>
      <c r="F6" s="48" t="str">
        <f>Resume!A7</f>
        <v>Shawez</v>
      </c>
      <c r="G6" s="48">
        <v>0</v>
      </c>
      <c r="H6" s="1"/>
      <c r="I6" s="1"/>
      <c r="J6" s="1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30" x14ac:dyDescent="0.25">
      <c r="A7" s="1"/>
      <c r="B7" s="49"/>
      <c r="C7" s="49"/>
      <c r="D7" s="49"/>
      <c r="E7" s="49"/>
      <c r="F7" s="48" t="str">
        <f>Resume!A8</f>
        <v>Nadir</v>
      </c>
      <c r="G7" s="48">
        <v>0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30" x14ac:dyDescent="0.25">
      <c r="A8" s="1"/>
      <c r="B8" s="49"/>
      <c r="C8" s="49"/>
      <c r="D8" s="49"/>
      <c r="E8" s="49"/>
      <c r="F8" s="48" t="str">
        <f>Resume!A9</f>
        <v>L'équipe</v>
      </c>
      <c r="G8" s="48">
        <v>13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30" ht="15.75" thickBot="1" x14ac:dyDescent="0.3">
      <c r="A9" s="1"/>
      <c r="B9" s="1"/>
      <c r="C9" s="1"/>
      <c r="D9" s="1"/>
      <c r="E9" s="1"/>
      <c r="F9" s="1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30" ht="30" x14ac:dyDescent="0.25">
      <c r="A10" s="12" t="s">
        <v>24</v>
      </c>
      <c r="B10" s="84" t="s">
        <v>25</v>
      </c>
      <c r="C10" s="85"/>
      <c r="D10" s="86"/>
      <c r="E10" s="16">
        <f>C30+E30</f>
        <v>2</v>
      </c>
      <c r="F10" s="84" t="s">
        <v>26</v>
      </c>
      <c r="G10" s="85"/>
      <c r="H10" s="86"/>
      <c r="I10" s="16">
        <f>G30+I30</f>
        <v>0</v>
      </c>
      <c r="J10" s="80" t="s">
        <v>27</v>
      </c>
      <c r="K10" s="81"/>
      <c r="L10" s="82"/>
      <c r="M10" s="16">
        <f>K30+M30</f>
        <v>0</v>
      </c>
      <c r="N10" s="80" t="s">
        <v>28</v>
      </c>
      <c r="O10" s="81"/>
      <c r="P10" s="82"/>
      <c r="Q10" s="16">
        <f>O30+Q30</f>
        <v>1</v>
      </c>
      <c r="R10" s="80" t="s">
        <v>29</v>
      </c>
      <c r="S10" s="81"/>
      <c r="T10" s="82"/>
      <c r="U10" s="16">
        <f>S30+U30</f>
        <v>3</v>
      </c>
      <c r="V10" s="80" t="s">
        <v>30</v>
      </c>
      <c r="W10" s="81"/>
      <c r="X10" s="82"/>
      <c r="Y10" s="16">
        <f>W30+Y30</f>
        <v>7</v>
      </c>
      <c r="Z10" s="80" t="s">
        <v>31</v>
      </c>
      <c r="AA10" s="81"/>
      <c r="AB10" s="82"/>
      <c r="AC10" s="16">
        <f>AA30+AC30</f>
        <v>0</v>
      </c>
      <c r="AD10" s="19"/>
    </row>
    <row r="11" spans="1:30" x14ac:dyDescent="0.25">
      <c r="A11" s="13"/>
      <c r="B11" s="14">
        <f>Resume!D1+($C$1-1)*7</f>
        <v>43076</v>
      </c>
      <c r="C11" s="6"/>
      <c r="D11" s="7"/>
      <c r="E11" s="17"/>
      <c r="F11" s="14">
        <f>B11+1</f>
        <v>43077</v>
      </c>
      <c r="G11" s="6"/>
      <c r="H11" s="7"/>
      <c r="I11" s="15"/>
      <c r="J11" s="14">
        <f>F11+1</f>
        <v>43078</v>
      </c>
      <c r="K11" s="6"/>
      <c r="L11" s="7"/>
      <c r="M11" s="15"/>
      <c r="N11" s="14">
        <f>J11+1</f>
        <v>43079</v>
      </c>
      <c r="O11" s="6"/>
      <c r="P11" s="7"/>
      <c r="Q11" s="15"/>
      <c r="R11" s="14">
        <f>N11+1</f>
        <v>43080</v>
      </c>
      <c r="S11" s="6"/>
      <c r="T11" s="7"/>
      <c r="U11" s="15"/>
      <c r="V11" s="14">
        <f>R11+1</f>
        <v>43081</v>
      </c>
      <c r="W11" s="6"/>
      <c r="X11" s="7"/>
      <c r="Y11" s="15"/>
      <c r="Z11" s="14">
        <f>V11+1</f>
        <v>43082</v>
      </c>
      <c r="AA11" s="9"/>
      <c r="AB11" s="7"/>
      <c r="AC11" s="10"/>
      <c r="AD11" s="20" t="s">
        <v>22</v>
      </c>
    </row>
    <row r="12" spans="1:30" s="8" customFormat="1" ht="30" x14ac:dyDescent="0.25">
      <c r="A12" s="36" t="s">
        <v>4</v>
      </c>
      <c r="B12" s="37" t="s">
        <v>33</v>
      </c>
      <c r="C12" s="38" t="s">
        <v>16</v>
      </c>
      <c r="D12" s="38" t="s">
        <v>34</v>
      </c>
      <c r="E12" s="39" t="s">
        <v>16</v>
      </c>
      <c r="F12" s="37" t="s">
        <v>35</v>
      </c>
      <c r="G12" s="38" t="s">
        <v>16</v>
      </c>
      <c r="H12" s="38" t="s">
        <v>36</v>
      </c>
      <c r="I12" s="39" t="s">
        <v>16</v>
      </c>
      <c r="J12" s="37" t="s">
        <v>8</v>
      </c>
      <c r="K12" s="38" t="s">
        <v>16</v>
      </c>
      <c r="L12" s="38" t="s">
        <v>9</v>
      </c>
      <c r="M12" s="39" t="s">
        <v>16</v>
      </c>
      <c r="N12" s="37" t="s">
        <v>37</v>
      </c>
      <c r="O12" s="38" t="s">
        <v>16</v>
      </c>
      <c r="P12" s="38" t="s">
        <v>38</v>
      </c>
      <c r="Q12" s="39" t="s">
        <v>16</v>
      </c>
      <c r="R12" s="37" t="s">
        <v>10</v>
      </c>
      <c r="S12" s="38" t="s">
        <v>16</v>
      </c>
      <c r="T12" s="38" t="s">
        <v>11</v>
      </c>
      <c r="U12" s="39" t="s">
        <v>16</v>
      </c>
      <c r="V12" s="37" t="s">
        <v>12</v>
      </c>
      <c r="W12" s="38" t="s">
        <v>16</v>
      </c>
      <c r="X12" s="38" t="s">
        <v>13</v>
      </c>
      <c r="Y12" s="39" t="s">
        <v>16</v>
      </c>
      <c r="Z12" s="37" t="s">
        <v>14</v>
      </c>
      <c r="AA12" s="40" t="s">
        <v>16</v>
      </c>
      <c r="AB12" s="38" t="s">
        <v>15</v>
      </c>
      <c r="AC12" s="41" t="s">
        <v>16</v>
      </c>
      <c r="AD12" s="42" t="s">
        <v>16</v>
      </c>
    </row>
    <row r="13" spans="1:30" ht="68.25" x14ac:dyDescent="0.25">
      <c r="A13" s="68" t="s">
        <v>42</v>
      </c>
      <c r="B13" s="77"/>
      <c r="C13" s="69"/>
      <c r="D13" s="69" t="s">
        <v>71</v>
      </c>
      <c r="E13" s="71">
        <v>2</v>
      </c>
      <c r="F13" s="77"/>
      <c r="G13" s="69"/>
      <c r="H13" s="69"/>
      <c r="I13" s="71"/>
      <c r="J13" s="77"/>
      <c r="K13" s="69"/>
      <c r="L13" s="69"/>
      <c r="M13" s="71"/>
      <c r="N13" s="77"/>
      <c r="O13" s="69"/>
      <c r="P13" s="69" t="s">
        <v>72</v>
      </c>
      <c r="Q13" s="71">
        <v>1</v>
      </c>
      <c r="R13" s="77"/>
      <c r="S13" s="69"/>
      <c r="T13" s="69" t="s">
        <v>73</v>
      </c>
      <c r="U13" s="71">
        <v>3</v>
      </c>
      <c r="V13" s="69" t="s">
        <v>73</v>
      </c>
      <c r="W13" s="69">
        <v>3</v>
      </c>
      <c r="X13" s="69" t="s">
        <v>73</v>
      </c>
      <c r="Y13" s="71">
        <v>4</v>
      </c>
      <c r="Z13" s="77"/>
      <c r="AA13" s="73"/>
      <c r="AB13" s="69"/>
      <c r="AC13" s="75"/>
      <c r="AD13" s="21">
        <f>C13+E13+G13+I13+K13+M13+O13+Q13+S13+U13+W13+Y13+AA13+AC13</f>
        <v>13</v>
      </c>
    </row>
    <row r="14" spans="1:30" x14ac:dyDescent="0.25">
      <c r="A14" s="68"/>
      <c r="B14" s="77"/>
      <c r="C14" s="69"/>
      <c r="D14" s="69"/>
      <c r="E14" s="71"/>
      <c r="F14" s="77"/>
      <c r="G14" s="69"/>
      <c r="H14" s="69"/>
      <c r="I14" s="71"/>
      <c r="J14" s="77"/>
      <c r="K14" s="69"/>
      <c r="L14" s="69"/>
      <c r="M14" s="71"/>
      <c r="N14" s="77"/>
      <c r="O14" s="69"/>
      <c r="P14" s="69"/>
      <c r="Q14" s="71"/>
      <c r="R14" s="77"/>
      <c r="S14" s="69"/>
      <c r="T14" s="69"/>
      <c r="U14" s="71"/>
      <c r="V14" s="77"/>
      <c r="W14" s="69"/>
      <c r="X14" s="69"/>
      <c r="Y14" s="71"/>
      <c r="Z14" s="77"/>
      <c r="AA14" s="73"/>
      <c r="AB14" s="69"/>
      <c r="AC14" s="75"/>
      <c r="AD14" s="21">
        <f>C14+E14+G14+I14+K14+M14+O14+Q14+S14+U14+W14+Y14+AA14+AC14</f>
        <v>0</v>
      </c>
    </row>
    <row r="15" spans="1:30" x14ac:dyDescent="0.25">
      <c r="A15" s="68"/>
      <c r="B15" s="77"/>
      <c r="C15" s="69"/>
      <c r="D15" s="69"/>
      <c r="E15" s="71"/>
      <c r="F15" s="77"/>
      <c r="G15" s="69"/>
      <c r="H15" s="69"/>
      <c r="I15" s="71"/>
      <c r="J15" s="77"/>
      <c r="K15" s="69"/>
      <c r="L15" s="69"/>
      <c r="M15" s="71"/>
      <c r="N15" s="77"/>
      <c r="O15" s="69"/>
      <c r="P15" s="69"/>
      <c r="Q15" s="71"/>
      <c r="R15" s="77"/>
      <c r="S15" s="69"/>
      <c r="T15" s="69"/>
      <c r="U15" s="71"/>
      <c r="V15" s="77"/>
      <c r="W15" s="69"/>
      <c r="X15" s="69"/>
      <c r="Y15" s="71"/>
      <c r="Z15" s="77"/>
      <c r="AA15" s="73"/>
      <c r="AB15" s="69"/>
      <c r="AC15" s="75"/>
      <c r="AD15" s="21">
        <f t="shared" ref="AD15:AD30" si="0">C15+E15+G15+I15+K15+M15+O15+Q15+S15+U15+W15+Y15+AA15+AC15</f>
        <v>0</v>
      </c>
    </row>
    <row r="16" spans="1:30" x14ac:dyDescent="0.25">
      <c r="A16" s="68"/>
      <c r="B16" s="77"/>
      <c r="C16" s="69"/>
      <c r="D16" s="69"/>
      <c r="E16" s="71"/>
      <c r="F16" s="77"/>
      <c r="G16" s="69"/>
      <c r="H16" s="69"/>
      <c r="I16" s="71"/>
      <c r="J16" s="77"/>
      <c r="K16" s="69"/>
      <c r="L16" s="69"/>
      <c r="M16" s="71"/>
      <c r="N16" s="77"/>
      <c r="O16" s="69"/>
      <c r="P16" s="69"/>
      <c r="Q16" s="71"/>
      <c r="R16" s="77"/>
      <c r="S16" s="69"/>
      <c r="T16" s="69"/>
      <c r="U16" s="71"/>
      <c r="V16" s="77"/>
      <c r="W16" s="69"/>
      <c r="X16" s="69"/>
      <c r="Y16" s="71"/>
      <c r="Z16" s="77"/>
      <c r="AA16" s="69"/>
      <c r="AB16" s="69"/>
      <c r="AC16" s="71"/>
      <c r="AD16" s="21">
        <f t="shared" si="0"/>
        <v>0</v>
      </c>
    </row>
    <row r="17" spans="1:30" x14ac:dyDescent="0.25">
      <c r="A17" s="68"/>
      <c r="B17" s="77"/>
      <c r="C17" s="69"/>
      <c r="D17" s="69"/>
      <c r="E17" s="71"/>
      <c r="F17" s="77"/>
      <c r="G17" s="69"/>
      <c r="H17" s="69"/>
      <c r="I17" s="71"/>
      <c r="J17" s="77"/>
      <c r="K17" s="69"/>
      <c r="L17" s="69"/>
      <c r="M17" s="71"/>
      <c r="N17" s="77"/>
      <c r="O17" s="69"/>
      <c r="P17" s="69"/>
      <c r="Q17" s="71"/>
      <c r="R17" s="77"/>
      <c r="S17" s="69"/>
      <c r="T17" s="69"/>
      <c r="U17" s="71"/>
      <c r="V17" s="77"/>
      <c r="W17" s="69"/>
      <c r="X17" s="69"/>
      <c r="Y17" s="71"/>
      <c r="Z17" s="77"/>
      <c r="AA17" s="73"/>
      <c r="AB17" s="69"/>
      <c r="AC17" s="75"/>
      <c r="AD17" s="21">
        <f t="shared" si="0"/>
        <v>0</v>
      </c>
    </row>
    <row r="18" spans="1:30" x14ac:dyDescent="0.25">
      <c r="A18" s="68"/>
      <c r="B18" s="77"/>
      <c r="C18" s="69"/>
      <c r="D18" s="69"/>
      <c r="E18" s="71"/>
      <c r="F18" s="77"/>
      <c r="G18" s="69"/>
      <c r="H18" s="69"/>
      <c r="I18" s="71"/>
      <c r="J18" s="77"/>
      <c r="K18" s="69"/>
      <c r="L18" s="69"/>
      <c r="M18" s="71"/>
      <c r="N18" s="77"/>
      <c r="O18" s="69"/>
      <c r="P18" s="69"/>
      <c r="Q18" s="71"/>
      <c r="R18" s="77"/>
      <c r="S18" s="69"/>
      <c r="T18" s="69"/>
      <c r="U18" s="71"/>
      <c r="V18" s="77"/>
      <c r="W18" s="69"/>
      <c r="X18" s="69"/>
      <c r="Y18" s="71"/>
      <c r="Z18" s="77"/>
      <c r="AA18" s="73"/>
      <c r="AB18" s="69"/>
      <c r="AC18" s="75"/>
      <c r="AD18" s="21">
        <f t="shared" si="0"/>
        <v>0</v>
      </c>
    </row>
    <row r="19" spans="1:30" x14ac:dyDescent="0.25">
      <c r="A19" s="68"/>
      <c r="B19" s="77"/>
      <c r="C19" s="69"/>
      <c r="D19" s="69"/>
      <c r="E19" s="71"/>
      <c r="F19" s="77"/>
      <c r="G19" s="69"/>
      <c r="H19" s="69"/>
      <c r="I19" s="71"/>
      <c r="J19" s="77"/>
      <c r="K19" s="69"/>
      <c r="L19" s="69"/>
      <c r="M19" s="71"/>
      <c r="N19" s="77"/>
      <c r="O19" s="69"/>
      <c r="P19" s="69"/>
      <c r="Q19" s="71"/>
      <c r="R19" s="77"/>
      <c r="S19" s="69"/>
      <c r="T19" s="69"/>
      <c r="U19" s="71"/>
      <c r="V19" s="77"/>
      <c r="W19" s="69"/>
      <c r="X19" s="69"/>
      <c r="Y19" s="71"/>
      <c r="Z19" s="77"/>
      <c r="AA19" s="73"/>
      <c r="AB19" s="69"/>
      <c r="AC19" s="75"/>
      <c r="AD19" s="21">
        <f t="shared" si="0"/>
        <v>0</v>
      </c>
    </row>
    <row r="20" spans="1:30" x14ac:dyDescent="0.25">
      <c r="A20" s="68"/>
      <c r="B20" s="77"/>
      <c r="C20" s="69"/>
      <c r="D20" s="69"/>
      <c r="E20" s="71"/>
      <c r="F20" s="77"/>
      <c r="G20" s="69"/>
      <c r="H20" s="69"/>
      <c r="I20" s="71"/>
      <c r="J20" s="77"/>
      <c r="K20" s="69"/>
      <c r="L20" s="69"/>
      <c r="M20" s="71"/>
      <c r="N20" s="77"/>
      <c r="O20" s="69"/>
      <c r="P20" s="69"/>
      <c r="Q20" s="71"/>
      <c r="R20" s="77"/>
      <c r="S20" s="69"/>
      <c r="T20" s="69"/>
      <c r="U20" s="71"/>
      <c r="V20" s="77"/>
      <c r="W20" s="69"/>
      <c r="X20" s="69"/>
      <c r="Y20" s="71"/>
      <c r="Z20" s="77"/>
      <c r="AA20" s="73"/>
      <c r="AB20" s="69"/>
      <c r="AC20" s="75"/>
      <c r="AD20" s="21">
        <f t="shared" si="0"/>
        <v>0</v>
      </c>
    </row>
    <row r="21" spans="1:30" x14ac:dyDescent="0.25">
      <c r="A21" s="68"/>
      <c r="B21" s="77"/>
      <c r="C21" s="69"/>
      <c r="D21" s="69"/>
      <c r="E21" s="71"/>
      <c r="F21" s="77"/>
      <c r="G21" s="69"/>
      <c r="H21" s="69"/>
      <c r="I21" s="71"/>
      <c r="J21" s="77"/>
      <c r="K21" s="69"/>
      <c r="L21" s="69"/>
      <c r="M21" s="71"/>
      <c r="N21" s="77"/>
      <c r="O21" s="69"/>
      <c r="P21" s="69"/>
      <c r="Q21" s="71"/>
      <c r="R21" s="77"/>
      <c r="S21" s="69"/>
      <c r="T21" s="69"/>
      <c r="U21" s="71"/>
      <c r="V21" s="77"/>
      <c r="W21" s="69"/>
      <c r="X21" s="69"/>
      <c r="Y21" s="71"/>
      <c r="Z21" s="77"/>
      <c r="AA21" s="73"/>
      <c r="AB21" s="69"/>
      <c r="AC21" s="75"/>
      <c r="AD21" s="21">
        <f t="shared" si="0"/>
        <v>0</v>
      </c>
    </row>
    <row r="22" spans="1:30" x14ac:dyDescent="0.25">
      <c r="A22" s="68"/>
      <c r="B22" s="77"/>
      <c r="C22" s="69"/>
      <c r="D22" s="69"/>
      <c r="E22" s="71"/>
      <c r="F22" s="77"/>
      <c r="G22" s="69"/>
      <c r="H22" s="69"/>
      <c r="I22" s="71"/>
      <c r="J22" s="77"/>
      <c r="K22" s="69"/>
      <c r="L22" s="69"/>
      <c r="M22" s="71"/>
      <c r="N22" s="77"/>
      <c r="O22" s="69"/>
      <c r="P22" s="69"/>
      <c r="Q22" s="71"/>
      <c r="R22" s="77"/>
      <c r="S22" s="69"/>
      <c r="T22" s="69"/>
      <c r="U22" s="71"/>
      <c r="V22" s="77"/>
      <c r="W22" s="69"/>
      <c r="X22" s="69"/>
      <c r="Y22" s="71"/>
      <c r="Z22" s="77"/>
      <c r="AA22" s="73"/>
      <c r="AB22" s="69"/>
      <c r="AC22" s="75"/>
      <c r="AD22" s="21">
        <f t="shared" si="0"/>
        <v>0</v>
      </c>
    </row>
    <row r="23" spans="1:30" x14ac:dyDescent="0.25">
      <c r="A23" s="68"/>
      <c r="B23" s="77"/>
      <c r="C23" s="69"/>
      <c r="D23" s="69"/>
      <c r="E23" s="71"/>
      <c r="F23" s="77"/>
      <c r="G23" s="69"/>
      <c r="H23" s="69"/>
      <c r="I23" s="71"/>
      <c r="J23" s="77"/>
      <c r="K23" s="69"/>
      <c r="L23" s="69"/>
      <c r="M23" s="71"/>
      <c r="N23" s="77"/>
      <c r="O23" s="69"/>
      <c r="P23" s="69"/>
      <c r="Q23" s="71"/>
      <c r="R23" s="77"/>
      <c r="S23" s="69"/>
      <c r="T23" s="69"/>
      <c r="U23" s="71"/>
      <c r="V23" s="77"/>
      <c r="W23" s="69"/>
      <c r="X23" s="69"/>
      <c r="Y23" s="71"/>
      <c r="Z23" s="77"/>
      <c r="AA23" s="73"/>
      <c r="AB23" s="69"/>
      <c r="AC23" s="75"/>
      <c r="AD23" s="21">
        <f t="shared" si="0"/>
        <v>0</v>
      </c>
    </row>
    <row r="24" spans="1:30" x14ac:dyDescent="0.25">
      <c r="A24" s="68"/>
      <c r="B24" s="77"/>
      <c r="C24" s="69"/>
      <c r="D24" s="69"/>
      <c r="E24" s="71"/>
      <c r="F24" s="77"/>
      <c r="G24" s="69"/>
      <c r="H24" s="69"/>
      <c r="I24" s="71"/>
      <c r="J24" s="77"/>
      <c r="K24" s="69"/>
      <c r="L24" s="69"/>
      <c r="M24" s="71"/>
      <c r="N24" s="77"/>
      <c r="O24" s="69"/>
      <c r="P24" s="69"/>
      <c r="Q24" s="71"/>
      <c r="R24" s="77"/>
      <c r="S24" s="69"/>
      <c r="T24" s="69"/>
      <c r="U24" s="71"/>
      <c r="V24" s="77"/>
      <c r="W24" s="69"/>
      <c r="X24" s="69"/>
      <c r="Y24" s="71"/>
      <c r="Z24" s="77"/>
      <c r="AA24" s="73"/>
      <c r="AB24" s="69"/>
      <c r="AC24" s="75"/>
      <c r="AD24" s="21">
        <f t="shared" si="0"/>
        <v>0</v>
      </c>
    </row>
    <row r="25" spans="1:30" x14ac:dyDescent="0.25">
      <c r="A25" s="68"/>
      <c r="B25" s="77"/>
      <c r="C25" s="69"/>
      <c r="D25" s="69"/>
      <c r="E25" s="71"/>
      <c r="F25" s="77"/>
      <c r="G25" s="69"/>
      <c r="H25" s="69"/>
      <c r="I25" s="71"/>
      <c r="J25" s="77"/>
      <c r="K25" s="69"/>
      <c r="L25" s="69"/>
      <c r="M25" s="71"/>
      <c r="N25" s="77"/>
      <c r="O25" s="69"/>
      <c r="P25" s="69"/>
      <c r="Q25" s="71"/>
      <c r="R25" s="77"/>
      <c r="S25" s="69"/>
      <c r="T25" s="69"/>
      <c r="U25" s="71"/>
      <c r="V25" s="77"/>
      <c r="W25" s="69"/>
      <c r="X25" s="69"/>
      <c r="Y25" s="71"/>
      <c r="Z25" s="77"/>
      <c r="AA25" s="73"/>
      <c r="AB25" s="69"/>
      <c r="AC25" s="75"/>
      <c r="AD25" s="21">
        <f t="shared" si="0"/>
        <v>0</v>
      </c>
    </row>
    <row r="26" spans="1:30" x14ac:dyDescent="0.25">
      <c r="A26" s="68"/>
      <c r="B26" s="77"/>
      <c r="C26" s="69"/>
      <c r="D26" s="69"/>
      <c r="E26" s="71"/>
      <c r="F26" s="77"/>
      <c r="G26" s="69"/>
      <c r="H26" s="69"/>
      <c r="I26" s="71"/>
      <c r="J26" s="77"/>
      <c r="K26" s="69"/>
      <c r="L26" s="69"/>
      <c r="M26" s="71"/>
      <c r="N26" s="77"/>
      <c r="O26" s="69"/>
      <c r="P26" s="69"/>
      <c r="Q26" s="71"/>
      <c r="R26" s="77"/>
      <c r="S26" s="69"/>
      <c r="T26" s="69"/>
      <c r="U26" s="71"/>
      <c r="V26" s="77"/>
      <c r="W26" s="69"/>
      <c r="X26" s="69"/>
      <c r="Y26" s="71"/>
      <c r="Z26" s="77"/>
      <c r="AA26" s="73"/>
      <c r="AB26" s="69"/>
      <c r="AC26" s="75"/>
      <c r="AD26" s="21">
        <f t="shared" si="0"/>
        <v>0</v>
      </c>
    </row>
    <row r="27" spans="1:30" x14ac:dyDescent="0.25">
      <c r="A27" s="68"/>
      <c r="B27" s="77"/>
      <c r="C27" s="69"/>
      <c r="D27" s="69"/>
      <c r="E27" s="71"/>
      <c r="F27" s="77"/>
      <c r="G27" s="69"/>
      <c r="H27" s="69"/>
      <c r="I27" s="71"/>
      <c r="J27" s="77"/>
      <c r="K27" s="69"/>
      <c r="L27" s="69"/>
      <c r="M27" s="71"/>
      <c r="N27" s="77"/>
      <c r="O27" s="69"/>
      <c r="P27" s="69"/>
      <c r="Q27" s="71"/>
      <c r="R27" s="77"/>
      <c r="S27" s="69"/>
      <c r="T27" s="69"/>
      <c r="U27" s="71"/>
      <c r="V27" s="77"/>
      <c r="W27" s="69"/>
      <c r="X27" s="69"/>
      <c r="Y27" s="71"/>
      <c r="Z27" s="77"/>
      <c r="AA27" s="73"/>
      <c r="AB27" s="69"/>
      <c r="AC27" s="75"/>
      <c r="AD27" s="21">
        <f t="shared" si="0"/>
        <v>0</v>
      </c>
    </row>
    <row r="28" spans="1:30" x14ac:dyDescent="0.25">
      <c r="A28" s="68"/>
      <c r="B28" s="77"/>
      <c r="C28" s="69"/>
      <c r="D28" s="69"/>
      <c r="E28" s="71"/>
      <c r="F28" s="77"/>
      <c r="G28" s="69"/>
      <c r="H28" s="69"/>
      <c r="I28" s="71"/>
      <c r="J28" s="77"/>
      <c r="K28" s="69"/>
      <c r="L28" s="69"/>
      <c r="M28" s="71"/>
      <c r="N28" s="77"/>
      <c r="O28" s="69"/>
      <c r="P28" s="69"/>
      <c r="Q28" s="71"/>
      <c r="R28" s="77"/>
      <c r="S28" s="69"/>
      <c r="T28" s="69"/>
      <c r="U28" s="71"/>
      <c r="V28" s="77"/>
      <c r="W28" s="69"/>
      <c r="X28" s="69"/>
      <c r="Y28" s="71"/>
      <c r="Z28" s="77"/>
      <c r="AA28" s="73"/>
      <c r="AB28" s="69"/>
      <c r="AC28" s="75"/>
      <c r="AD28" s="21">
        <f t="shared" si="0"/>
        <v>0</v>
      </c>
    </row>
    <row r="29" spans="1:30" ht="15.75" thickBot="1" x14ac:dyDescent="0.3">
      <c r="A29" s="68"/>
      <c r="B29" s="78"/>
      <c r="C29" s="70"/>
      <c r="D29" s="70"/>
      <c r="E29" s="72"/>
      <c r="F29" s="78"/>
      <c r="G29" s="70"/>
      <c r="H29" s="70"/>
      <c r="I29" s="72"/>
      <c r="J29" s="78"/>
      <c r="K29" s="70"/>
      <c r="L29" s="70"/>
      <c r="M29" s="72"/>
      <c r="N29" s="78"/>
      <c r="O29" s="70"/>
      <c r="P29" s="70"/>
      <c r="Q29" s="72"/>
      <c r="R29" s="78"/>
      <c r="S29" s="70"/>
      <c r="T29" s="70"/>
      <c r="U29" s="72"/>
      <c r="V29" s="78"/>
      <c r="W29" s="70"/>
      <c r="X29" s="70"/>
      <c r="Y29" s="72"/>
      <c r="Z29" s="78"/>
      <c r="AA29" s="74"/>
      <c r="AB29" s="70"/>
      <c r="AC29" s="76"/>
      <c r="AD29" s="22">
        <f t="shared" si="0"/>
        <v>0</v>
      </c>
    </row>
    <row r="30" spans="1:30" x14ac:dyDescent="0.25">
      <c r="A30" s="1"/>
      <c r="B30" s="1"/>
      <c r="C30" s="1">
        <f>SUM(C13:C29)</f>
        <v>0</v>
      </c>
      <c r="D30" s="1"/>
      <c r="E30" s="1">
        <f>SUM(E13:E29)</f>
        <v>2</v>
      </c>
      <c r="F30" s="1"/>
      <c r="G30" s="1">
        <f>SUM(G13:G29)</f>
        <v>0</v>
      </c>
      <c r="H30" s="1"/>
      <c r="I30" s="1">
        <f>SUM(I13:I29)</f>
        <v>0</v>
      </c>
      <c r="J30" s="1"/>
      <c r="K30" s="1">
        <f>SUM(K13:K29)</f>
        <v>0</v>
      </c>
      <c r="L30" s="1"/>
      <c r="M30" s="1">
        <f>SUM(M13:M29)</f>
        <v>0</v>
      </c>
      <c r="N30" s="1"/>
      <c r="O30" s="1">
        <f>SUM(O13:O29)</f>
        <v>0</v>
      </c>
      <c r="P30" s="1"/>
      <c r="Q30" s="1">
        <f>SUM(Q13:Q29)</f>
        <v>1</v>
      </c>
      <c r="R30" s="1"/>
      <c r="S30" s="1">
        <f>SUM(S13:S29)</f>
        <v>0</v>
      </c>
      <c r="T30" s="1"/>
      <c r="U30" s="1">
        <f>SUM(U13:U29)</f>
        <v>3</v>
      </c>
      <c r="V30" s="1"/>
      <c r="W30" s="1">
        <f>SUM(W13:W29)</f>
        <v>3</v>
      </c>
      <c r="X30" s="1"/>
      <c r="Y30" s="1">
        <f>SUM(Y13:Y29)</f>
        <v>4</v>
      </c>
      <c r="Z30" s="1"/>
      <c r="AA30" s="1">
        <f>SUM(AA13:AA29)</f>
        <v>0</v>
      </c>
      <c r="AB30" s="1"/>
      <c r="AC30" s="1">
        <f>SUM(AC13:AC29)</f>
        <v>0</v>
      </c>
      <c r="AD30" s="18">
        <f t="shared" si="0"/>
        <v>13</v>
      </c>
    </row>
  </sheetData>
  <sheetProtection sheet="1" objects="1" scenarios="1" selectLockedCells="1"/>
  <mergeCells count="8">
    <mergeCell ref="V10:X10"/>
    <mergeCell ref="Z10:AB10"/>
    <mergeCell ref="B3:F3"/>
    <mergeCell ref="B10:D10"/>
    <mergeCell ref="F10:H10"/>
    <mergeCell ref="J10:L10"/>
    <mergeCell ref="N10:P10"/>
    <mergeCell ref="R10:T10"/>
  </mergeCells>
  <dataValidations count="2">
    <dataValidation type="list" allowBlank="1" showInputMessage="1" showErrorMessage="1" sqref="A13:A29">
      <formula1>equipe</formula1>
    </dataValidation>
    <dataValidation type="list" allowBlank="1" showInputMessage="1" showErrorMessage="1" sqref="B13:B29 H13:H29 L13:L29 P13:P29 T13:T29 X13:X29 D13:D29 F13:F29 J13:J29 N13:N29 R13:R29 V13:V29 Z13:Z29 AB13:AB29">
      <formula1>taches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Recherche_tache">
                <anchor moveWithCells="1" sizeWithCells="1">
                  <from>
                    <xdr:col>11</xdr:col>
                    <xdr:colOff>9525</xdr:colOff>
                    <xdr:row>6</xdr:row>
                    <xdr:rowOff>171450</xdr:rowOff>
                  </from>
                  <to>
                    <xdr:col>11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/>
  <dimension ref="A1:AD30"/>
  <sheetViews>
    <sheetView topLeftCell="F1" workbookViewId="0">
      <selection activeCell="E14" sqref="E14"/>
    </sheetView>
  </sheetViews>
  <sheetFormatPr baseColWidth="10" defaultRowHeight="15" x14ac:dyDescent="0.25"/>
  <cols>
    <col min="2" max="2" width="11.7109375" customWidth="1"/>
    <col min="3" max="3" width="3.85546875" customWidth="1"/>
    <col min="4" max="4" width="11.7109375" customWidth="1"/>
    <col min="5" max="5" width="3.85546875" customWidth="1"/>
    <col min="6" max="6" width="11.7109375" customWidth="1"/>
    <col min="7" max="7" width="3.85546875" customWidth="1"/>
    <col min="8" max="8" width="11.7109375" customWidth="1"/>
    <col min="9" max="9" width="3.85546875" customWidth="1"/>
    <col min="10" max="10" width="11.7109375" customWidth="1"/>
    <col min="11" max="11" width="3.85546875" customWidth="1"/>
    <col min="12" max="12" width="11.7109375" customWidth="1"/>
    <col min="13" max="13" width="3.85546875" customWidth="1"/>
    <col min="14" max="14" width="11.7109375" customWidth="1"/>
    <col min="15" max="15" width="3.85546875" customWidth="1"/>
    <col min="16" max="16" width="11.7109375" customWidth="1"/>
    <col min="17" max="17" width="3.85546875" customWidth="1"/>
    <col min="18" max="18" width="11.7109375" customWidth="1"/>
    <col min="19" max="19" width="3.85546875" customWidth="1"/>
    <col min="20" max="20" width="11.7109375" customWidth="1"/>
    <col min="21" max="21" width="3.85546875" customWidth="1"/>
    <col min="22" max="22" width="11.7109375" customWidth="1"/>
    <col min="23" max="23" width="3.85546875" customWidth="1"/>
    <col min="24" max="24" width="11.7109375" customWidth="1"/>
    <col min="25" max="25" width="3.85546875" customWidth="1"/>
    <col min="26" max="26" width="11.7109375" customWidth="1"/>
    <col min="27" max="27" width="3.7109375" customWidth="1"/>
    <col min="28" max="28" width="13.28515625" customWidth="1"/>
    <col min="29" max="29" width="5" customWidth="1"/>
    <col min="30" max="30" width="5.7109375" customWidth="1"/>
  </cols>
  <sheetData>
    <row r="1" spans="1:30" ht="15.75" thickBot="1" x14ac:dyDescent="0.3">
      <c r="A1" s="1"/>
      <c r="B1" s="43" t="s">
        <v>5</v>
      </c>
      <c r="C1" s="44">
        <v>5</v>
      </c>
      <c r="D1" s="45" t="s">
        <v>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3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0" x14ac:dyDescent="0.25">
      <c r="A3" s="1"/>
      <c r="B3" s="83" t="s">
        <v>20</v>
      </c>
      <c r="C3" s="83"/>
      <c r="D3" s="83"/>
      <c r="E3" s="83"/>
      <c r="F3" s="83"/>
      <c r="G3" s="46">
        <f>E10+I10+M10+Q10+U10+Y10+AC10</f>
        <v>12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0" x14ac:dyDescent="0.25">
      <c r="A4" s="1"/>
      <c r="B4" s="47"/>
      <c r="C4" s="47"/>
      <c r="D4" s="47"/>
      <c r="E4" s="47"/>
      <c r="F4" s="48" t="str">
        <f>Resume!A5</f>
        <v>Adrien</v>
      </c>
      <c r="G4" s="48">
        <v>0</v>
      </c>
      <c r="H4" s="1"/>
      <c r="I4" s="1"/>
      <c r="J4" s="1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30" x14ac:dyDescent="0.25">
      <c r="A5" s="1"/>
      <c r="B5" s="47"/>
      <c r="C5" s="47"/>
      <c r="D5" s="47"/>
      <c r="E5" s="47"/>
      <c r="F5" s="48" t="str">
        <f>Resume!A6</f>
        <v>Abdoulaye</v>
      </c>
      <c r="G5" s="48">
        <v>0</v>
      </c>
      <c r="H5" s="1"/>
      <c r="I5" s="1"/>
      <c r="J5" s="1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30" x14ac:dyDescent="0.25">
      <c r="A6" s="1"/>
      <c r="B6" s="47"/>
      <c r="C6" s="47"/>
      <c r="D6" s="47"/>
      <c r="E6" s="47"/>
      <c r="F6" s="48" t="str">
        <f>Resume!A7</f>
        <v>Shawez</v>
      </c>
      <c r="G6" s="48">
        <v>0</v>
      </c>
      <c r="H6" s="1"/>
      <c r="I6" s="1"/>
      <c r="J6" s="1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30" x14ac:dyDescent="0.25">
      <c r="A7" s="1"/>
      <c r="B7" s="49"/>
      <c r="C7" s="49"/>
      <c r="D7" s="49"/>
      <c r="E7" s="49"/>
      <c r="F7" s="48" t="str">
        <f>Resume!A8</f>
        <v>Nadir</v>
      </c>
      <c r="G7" s="48">
        <v>0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30" x14ac:dyDescent="0.25">
      <c r="A8" s="1"/>
      <c r="B8" s="49"/>
      <c r="C8" s="49"/>
      <c r="D8" s="49"/>
      <c r="E8" s="49"/>
      <c r="F8" s="48" t="str">
        <f>Resume!A9</f>
        <v>L'équipe</v>
      </c>
      <c r="G8" s="48">
        <v>12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30" ht="15.75" thickBot="1" x14ac:dyDescent="0.3">
      <c r="A9" s="1"/>
      <c r="B9" s="1"/>
      <c r="C9" s="1"/>
      <c r="D9" s="1"/>
      <c r="E9" s="1"/>
      <c r="F9" s="1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30" ht="30" x14ac:dyDescent="0.25">
      <c r="A10" s="12" t="s">
        <v>24</v>
      </c>
      <c r="B10" s="84" t="s">
        <v>25</v>
      </c>
      <c r="C10" s="85"/>
      <c r="D10" s="86"/>
      <c r="E10" s="16">
        <f>C30+E30</f>
        <v>2</v>
      </c>
      <c r="F10" s="84" t="s">
        <v>26</v>
      </c>
      <c r="G10" s="85"/>
      <c r="H10" s="86"/>
      <c r="I10" s="16">
        <f>G30+I30</f>
        <v>2</v>
      </c>
      <c r="J10" s="80" t="s">
        <v>27</v>
      </c>
      <c r="K10" s="81"/>
      <c r="L10" s="82"/>
      <c r="M10" s="16">
        <f>K30+M30</f>
        <v>0</v>
      </c>
      <c r="N10" s="80" t="s">
        <v>28</v>
      </c>
      <c r="O10" s="81"/>
      <c r="P10" s="82"/>
      <c r="Q10" s="16">
        <f>O30+Q30</f>
        <v>0</v>
      </c>
      <c r="R10" s="80" t="s">
        <v>29</v>
      </c>
      <c r="S10" s="81"/>
      <c r="T10" s="82"/>
      <c r="U10" s="16">
        <f>S30+U30</f>
        <v>3</v>
      </c>
      <c r="V10" s="80" t="s">
        <v>30</v>
      </c>
      <c r="W10" s="81"/>
      <c r="X10" s="82"/>
      <c r="Y10" s="16">
        <f>W30+Y30</f>
        <v>5</v>
      </c>
      <c r="Z10" s="80" t="s">
        <v>31</v>
      </c>
      <c r="AA10" s="81"/>
      <c r="AB10" s="82"/>
      <c r="AC10" s="16">
        <f>AA30+AC30</f>
        <v>0</v>
      </c>
      <c r="AD10" s="19"/>
    </row>
    <row r="11" spans="1:30" x14ac:dyDescent="0.25">
      <c r="A11" s="13"/>
      <c r="B11" s="14">
        <f>Resume!D1+($C$1-1)*7</f>
        <v>43083</v>
      </c>
      <c r="C11" s="6"/>
      <c r="D11" s="7"/>
      <c r="E11" s="17"/>
      <c r="F11" s="14">
        <f>B11+1</f>
        <v>43084</v>
      </c>
      <c r="G11" s="6"/>
      <c r="H11" s="7"/>
      <c r="I11" s="15"/>
      <c r="J11" s="14">
        <f>F11+1</f>
        <v>43085</v>
      </c>
      <c r="K11" s="6"/>
      <c r="L11" s="7"/>
      <c r="M11" s="15"/>
      <c r="N11" s="14">
        <f>J11+1</f>
        <v>43086</v>
      </c>
      <c r="O11" s="6"/>
      <c r="P11" s="7"/>
      <c r="Q11" s="15"/>
      <c r="R11" s="14">
        <f>N11+1</f>
        <v>43087</v>
      </c>
      <c r="S11" s="6"/>
      <c r="T11" s="7"/>
      <c r="U11" s="15"/>
      <c r="V11" s="14">
        <f>R11+1</f>
        <v>43088</v>
      </c>
      <c r="W11" s="6"/>
      <c r="X11" s="7"/>
      <c r="Y11" s="15"/>
      <c r="Z11" s="14">
        <f>V11+1</f>
        <v>43089</v>
      </c>
      <c r="AA11" s="9"/>
      <c r="AB11" s="7"/>
      <c r="AC11" s="10"/>
      <c r="AD11" s="20" t="s">
        <v>22</v>
      </c>
    </row>
    <row r="12" spans="1:30" s="8" customFormat="1" ht="30" x14ac:dyDescent="0.25">
      <c r="A12" s="36" t="s">
        <v>4</v>
      </c>
      <c r="B12" s="37" t="s">
        <v>33</v>
      </c>
      <c r="C12" s="38" t="s">
        <v>16</v>
      </c>
      <c r="D12" s="38" t="s">
        <v>34</v>
      </c>
      <c r="E12" s="39" t="s">
        <v>16</v>
      </c>
      <c r="F12" s="37" t="s">
        <v>35</v>
      </c>
      <c r="G12" s="38" t="s">
        <v>16</v>
      </c>
      <c r="H12" s="38" t="s">
        <v>36</v>
      </c>
      <c r="I12" s="39" t="s">
        <v>16</v>
      </c>
      <c r="J12" s="37" t="s">
        <v>8</v>
      </c>
      <c r="K12" s="38" t="s">
        <v>16</v>
      </c>
      <c r="L12" s="38" t="s">
        <v>9</v>
      </c>
      <c r="M12" s="39" t="s">
        <v>16</v>
      </c>
      <c r="N12" s="37" t="s">
        <v>37</v>
      </c>
      <c r="O12" s="38" t="s">
        <v>16</v>
      </c>
      <c r="P12" s="38" t="s">
        <v>38</v>
      </c>
      <c r="Q12" s="39" t="s">
        <v>16</v>
      </c>
      <c r="R12" s="37" t="s">
        <v>10</v>
      </c>
      <c r="S12" s="38" t="s">
        <v>16</v>
      </c>
      <c r="T12" s="38" t="s">
        <v>11</v>
      </c>
      <c r="U12" s="39" t="s">
        <v>16</v>
      </c>
      <c r="V12" s="37" t="s">
        <v>12</v>
      </c>
      <c r="W12" s="38" t="s">
        <v>16</v>
      </c>
      <c r="X12" s="38" t="s">
        <v>13</v>
      </c>
      <c r="Y12" s="39" t="s">
        <v>16</v>
      </c>
      <c r="Z12" s="37" t="s">
        <v>14</v>
      </c>
      <c r="AA12" s="40" t="s">
        <v>16</v>
      </c>
      <c r="AB12" s="38" t="s">
        <v>15</v>
      </c>
      <c r="AC12" s="41" t="s">
        <v>16</v>
      </c>
      <c r="AD12" s="42" t="s">
        <v>16</v>
      </c>
    </row>
    <row r="13" spans="1:30" ht="57" x14ac:dyDescent="0.25">
      <c r="A13" s="68" t="s">
        <v>42</v>
      </c>
      <c r="B13" s="77"/>
      <c r="C13" s="69"/>
      <c r="D13" s="69" t="s">
        <v>73</v>
      </c>
      <c r="E13" s="71">
        <v>2</v>
      </c>
      <c r="F13" s="77"/>
      <c r="G13" s="69"/>
      <c r="H13" s="69" t="s">
        <v>73</v>
      </c>
      <c r="I13" s="71">
        <v>2</v>
      </c>
      <c r="J13" s="77"/>
      <c r="K13" s="69"/>
      <c r="L13" s="69"/>
      <c r="M13" s="71"/>
      <c r="N13" s="77"/>
      <c r="O13" s="69"/>
      <c r="P13" s="69"/>
      <c r="Q13" s="71"/>
      <c r="R13" s="77"/>
      <c r="S13" s="69"/>
      <c r="T13" s="69" t="s">
        <v>78</v>
      </c>
      <c r="U13" s="71">
        <v>3</v>
      </c>
      <c r="V13" s="69" t="s">
        <v>78</v>
      </c>
      <c r="W13" s="69">
        <v>3</v>
      </c>
      <c r="X13" s="69" t="s">
        <v>74</v>
      </c>
      <c r="Y13" s="71">
        <v>2</v>
      </c>
      <c r="Z13" s="77"/>
      <c r="AA13" s="73"/>
      <c r="AB13" s="69"/>
      <c r="AC13" s="75"/>
      <c r="AD13" s="21">
        <f>C13+E13+G13+I13+K13+M13+O13+Q13+S13+U13+W13+Y13+AA13+AC13</f>
        <v>12</v>
      </c>
    </row>
    <row r="14" spans="1:30" x14ac:dyDescent="0.25">
      <c r="A14" s="68"/>
      <c r="B14" s="77"/>
      <c r="C14" s="69"/>
      <c r="D14" s="69"/>
      <c r="E14" s="71"/>
      <c r="F14" s="77"/>
      <c r="G14" s="69"/>
      <c r="H14" s="69"/>
      <c r="I14" s="71"/>
      <c r="J14" s="77"/>
      <c r="K14" s="69"/>
      <c r="L14" s="69"/>
      <c r="M14" s="71"/>
      <c r="N14" s="77"/>
      <c r="O14" s="69"/>
      <c r="P14" s="69"/>
      <c r="Q14" s="71"/>
      <c r="R14" s="77"/>
      <c r="S14" s="69"/>
      <c r="T14" s="69"/>
      <c r="U14" s="71"/>
      <c r="V14" s="77"/>
      <c r="W14" s="69"/>
      <c r="X14" s="69"/>
      <c r="Y14" s="71"/>
      <c r="Z14" s="77"/>
      <c r="AA14" s="73"/>
      <c r="AB14" s="69"/>
      <c r="AC14" s="75"/>
      <c r="AD14" s="21">
        <f>C14+E14+G14+I14+K14+M14+O14+Q14+S14+U14+W14+Y14+AA14+AC14</f>
        <v>0</v>
      </c>
    </row>
    <row r="15" spans="1:30" x14ac:dyDescent="0.25">
      <c r="A15" s="68"/>
      <c r="B15" s="77"/>
      <c r="C15" s="69"/>
      <c r="D15" s="69"/>
      <c r="E15" s="71"/>
      <c r="F15" s="77"/>
      <c r="G15" s="69"/>
      <c r="H15" s="69"/>
      <c r="I15" s="71"/>
      <c r="J15" s="77"/>
      <c r="K15" s="69"/>
      <c r="L15" s="69"/>
      <c r="M15" s="71"/>
      <c r="N15" s="77"/>
      <c r="O15" s="69"/>
      <c r="P15" s="69"/>
      <c r="Q15" s="71"/>
      <c r="R15" s="77"/>
      <c r="S15" s="69"/>
      <c r="T15" s="69"/>
      <c r="U15" s="71"/>
      <c r="V15" s="77"/>
      <c r="W15" s="69"/>
      <c r="X15" s="69"/>
      <c r="Y15" s="71"/>
      <c r="Z15" s="77"/>
      <c r="AA15" s="73"/>
      <c r="AB15" s="69"/>
      <c r="AC15" s="75"/>
      <c r="AD15" s="21">
        <f t="shared" ref="AD15:AD30" si="0">C15+E15+G15+I15+K15+M15+O15+Q15+S15+U15+W15+Y15+AA15+AC15</f>
        <v>0</v>
      </c>
    </row>
    <row r="16" spans="1:30" x14ac:dyDescent="0.25">
      <c r="A16" s="68"/>
      <c r="B16" s="77"/>
      <c r="C16" s="69"/>
      <c r="D16" s="69"/>
      <c r="E16" s="71"/>
      <c r="F16" s="77"/>
      <c r="G16" s="69"/>
      <c r="H16" s="69"/>
      <c r="I16" s="71"/>
      <c r="J16" s="77"/>
      <c r="K16" s="69"/>
      <c r="L16" s="69"/>
      <c r="M16" s="71"/>
      <c r="N16" s="77"/>
      <c r="O16" s="69"/>
      <c r="P16" s="69"/>
      <c r="Q16" s="71"/>
      <c r="R16" s="77"/>
      <c r="S16" s="69"/>
      <c r="T16" s="69"/>
      <c r="U16" s="71"/>
      <c r="V16" s="77"/>
      <c r="W16" s="69"/>
      <c r="X16" s="69"/>
      <c r="Y16" s="71"/>
      <c r="Z16" s="77"/>
      <c r="AA16" s="69"/>
      <c r="AB16" s="69"/>
      <c r="AC16" s="71"/>
      <c r="AD16" s="21">
        <f t="shared" si="0"/>
        <v>0</v>
      </c>
    </row>
    <row r="17" spans="1:30" x14ac:dyDescent="0.25">
      <c r="A17" s="68"/>
      <c r="B17" s="77"/>
      <c r="C17" s="69"/>
      <c r="D17" s="69"/>
      <c r="E17" s="71"/>
      <c r="F17" s="77"/>
      <c r="G17" s="69"/>
      <c r="H17" s="69"/>
      <c r="I17" s="71"/>
      <c r="J17" s="77"/>
      <c r="K17" s="69"/>
      <c r="L17" s="69"/>
      <c r="M17" s="71"/>
      <c r="N17" s="77"/>
      <c r="O17" s="69"/>
      <c r="P17" s="69"/>
      <c r="Q17" s="71"/>
      <c r="R17" s="77"/>
      <c r="S17" s="69"/>
      <c r="T17" s="69"/>
      <c r="U17" s="71"/>
      <c r="V17" s="77"/>
      <c r="W17" s="69"/>
      <c r="X17" s="69"/>
      <c r="Y17" s="71"/>
      <c r="Z17" s="77"/>
      <c r="AA17" s="73"/>
      <c r="AB17" s="69"/>
      <c r="AC17" s="75"/>
      <c r="AD17" s="21">
        <f t="shared" si="0"/>
        <v>0</v>
      </c>
    </row>
    <row r="18" spans="1:30" x14ac:dyDescent="0.25">
      <c r="A18" s="68"/>
      <c r="B18" s="77"/>
      <c r="C18" s="69"/>
      <c r="D18" s="69"/>
      <c r="E18" s="71"/>
      <c r="F18" s="77"/>
      <c r="G18" s="69"/>
      <c r="H18" s="69"/>
      <c r="I18" s="71"/>
      <c r="J18" s="77"/>
      <c r="K18" s="69"/>
      <c r="L18" s="69"/>
      <c r="M18" s="71"/>
      <c r="N18" s="77"/>
      <c r="O18" s="69"/>
      <c r="P18" s="69"/>
      <c r="Q18" s="71"/>
      <c r="R18" s="77"/>
      <c r="S18" s="69"/>
      <c r="T18" s="69"/>
      <c r="U18" s="71"/>
      <c r="V18" s="77"/>
      <c r="W18" s="69"/>
      <c r="X18" s="69"/>
      <c r="Y18" s="71"/>
      <c r="Z18" s="77"/>
      <c r="AA18" s="73"/>
      <c r="AB18" s="69"/>
      <c r="AC18" s="75"/>
      <c r="AD18" s="21">
        <f t="shared" si="0"/>
        <v>0</v>
      </c>
    </row>
    <row r="19" spans="1:30" x14ac:dyDescent="0.25">
      <c r="A19" s="68"/>
      <c r="B19" s="77"/>
      <c r="C19" s="69"/>
      <c r="D19" s="69"/>
      <c r="E19" s="71"/>
      <c r="F19" s="77"/>
      <c r="G19" s="69"/>
      <c r="H19" s="69"/>
      <c r="I19" s="71"/>
      <c r="J19" s="77"/>
      <c r="K19" s="69"/>
      <c r="L19" s="69"/>
      <c r="M19" s="71"/>
      <c r="N19" s="77"/>
      <c r="O19" s="69"/>
      <c r="P19" s="69"/>
      <c r="Q19" s="71"/>
      <c r="R19" s="77"/>
      <c r="S19" s="69"/>
      <c r="T19" s="69"/>
      <c r="U19" s="71"/>
      <c r="V19" s="77"/>
      <c r="W19" s="69"/>
      <c r="X19" s="69"/>
      <c r="Y19" s="71"/>
      <c r="Z19" s="77"/>
      <c r="AA19" s="73"/>
      <c r="AB19" s="69"/>
      <c r="AC19" s="75"/>
      <c r="AD19" s="21">
        <f t="shared" si="0"/>
        <v>0</v>
      </c>
    </row>
    <row r="20" spans="1:30" x14ac:dyDescent="0.25">
      <c r="A20" s="68"/>
      <c r="B20" s="77"/>
      <c r="C20" s="69"/>
      <c r="D20" s="69"/>
      <c r="E20" s="71"/>
      <c r="F20" s="77"/>
      <c r="G20" s="69"/>
      <c r="H20" s="69"/>
      <c r="I20" s="71"/>
      <c r="J20" s="77"/>
      <c r="K20" s="69"/>
      <c r="L20" s="69"/>
      <c r="M20" s="71"/>
      <c r="N20" s="77"/>
      <c r="O20" s="69"/>
      <c r="P20" s="69"/>
      <c r="Q20" s="71"/>
      <c r="R20" s="77"/>
      <c r="S20" s="69"/>
      <c r="T20" s="69"/>
      <c r="U20" s="71"/>
      <c r="V20" s="77"/>
      <c r="W20" s="69"/>
      <c r="X20" s="69"/>
      <c r="Y20" s="71"/>
      <c r="Z20" s="77"/>
      <c r="AA20" s="73"/>
      <c r="AB20" s="69"/>
      <c r="AC20" s="75"/>
      <c r="AD20" s="21">
        <f t="shared" si="0"/>
        <v>0</v>
      </c>
    </row>
    <row r="21" spans="1:30" x14ac:dyDescent="0.25">
      <c r="A21" s="68"/>
      <c r="B21" s="77"/>
      <c r="C21" s="69"/>
      <c r="D21" s="69"/>
      <c r="E21" s="71"/>
      <c r="F21" s="77"/>
      <c r="G21" s="69"/>
      <c r="H21" s="69"/>
      <c r="I21" s="71"/>
      <c r="J21" s="77"/>
      <c r="K21" s="69"/>
      <c r="L21" s="69"/>
      <c r="M21" s="71"/>
      <c r="N21" s="77"/>
      <c r="O21" s="69"/>
      <c r="P21" s="69"/>
      <c r="Q21" s="71"/>
      <c r="R21" s="77"/>
      <c r="S21" s="69"/>
      <c r="T21" s="69"/>
      <c r="U21" s="71"/>
      <c r="V21" s="77"/>
      <c r="W21" s="69"/>
      <c r="X21" s="69"/>
      <c r="Y21" s="71"/>
      <c r="Z21" s="77"/>
      <c r="AA21" s="73"/>
      <c r="AB21" s="69"/>
      <c r="AC21" s="75"/>
      <c r="AD21" s="21">
        <f t="shared" si="0"/>
        <v>0</v>
      </c>
    </row>
    <row r="22" spans="1:30" x14ac:dyDescent="0.25">
      <c r="A22" s="68"/>
      <c r="B22" s="77"/>
      <c r="C22" s="69"/>
      <c r="D22" s="69"/>
      <c r="E22" s="71"/>
      <c r="F22" s="77"/>
      <c r="G22" s="69"/>
      <c r="H22" s="69"/>
      <c r="I22" s="71"/>
      <c r="J22" s="77"/>
      <c r="K22" s="69"/>
      <c r="L22" s="69"/>
      <c r="M22" s="71"/>
      <c r="N22" s="77"/>
      <c r="O22" s="69"/>
      <c r="P22" s="69"/>
      <c r="Q22" s="71"/>
      <c r="R22" s="77"/>
      <c r="S22" s="69"/>
      <c r="T22" s="69"/>
      <c r="U22" s="71"/>
      <c r="V22" s="77"/>
      <c r="W22" s="69"/>
      <c r="X22" s="69"/>
      <c r="Y22" s="71"/>
      <c r="Z22" s="77"/>
      <c r="AA22" s="73"/>
      <c r="AB22" s="69"/>
      <c r="AC22" s="75"/>
      <c r="AD22" s="21">
        <f t="shared" si="0"/>
        <v>0</v>
      </c>
    </row>
    <row r="23" spans="1:30" x14ac:dyDescent="0.25">
      <c r="A23" s="68"/>
      <c r="B23" s="77"/>
      <c r="C23" s="69"/>
      <c r="D23" s="69"/>
      <c r="E23" s="71"/>
      <c r="F23" s="77"/>
      <c r="G23" s="69"/>
      <c r="H23" s="69"/>
      <c r="I23" s="71"/>
      <c r="J23" s="77"/>
      <c r="K23" s="69"/>
      <c r="L23" s="69"/>
      <c r="M23" s="71"/>
      <c r="N23" s="77"/>
      <c r="O23" s="69"/>
      <c r="P23" s="69"/>
      <c r="Q23" s="71"/>
      <c r="R23" s="77"/>
      <c r="S23" s="69"/>
      <c r="T23" s="69"/>
      <c r="U23" s="71"/>
      <c r="V23" s="77"/>
      <c r="W23" s="69"/>
      <c r="X23" s="69"/>
      <c r="Y23" s="71"/>
      <c r="Z23" s="77"/>
      <c r="AA23" s="73"/>
      <c r="AB23" s="69"/>
      <c r="AC23" s="75"/>
      <c r="AD23" s="21">
        <f t="shared" si="0"/>
        <v>0</v>
      </c>
    </row>
    <row r="24" spans="1:30" x14ac:dyDescent="0.25">
      <c r="A24" s="68"/>
      <c r="B24" s="77"/>
      <c r="C24" s="69"/>
      <c r="D24" s="69"/>
      <c r="E24" s="71"/>
      <c r="F24" s="77"/>
      <c r="G24" s="69"/>
      <c r="H24" s="69"/>
      <c r="I24" s="71"/>
      <c r="J24" s="77"/>
      <c r="K24" s="69"/>
      <c r="L24" s="69"/>
      <c r="M24" s="71"/>
      <c r="N24" s="77"/>
      <c r="O24" s="69"/>
      <c r="P24" s="69"/>
      <c r="Q24" s="71"/>
      <c r="R24" s="77"/>
      <c r="S24" s="69"/>
      <c r="T24" s="69"/>
      <c r="U24" s="71"/>
      <c r="V24" s="77"/>
      <c r="W24" s="69"/>
      <c r="X24" s="69"/>
      <c r="Y24" s="71"/>
      <c r="Z24" s="77"/>
      <c r="AA24" s="73"/>
      <c r="AB24" s="69"/>
      <c r="AC24" s="75"/>
      <c r="AD24" s="21">
        <f t="shared" si="0"/>
        <v>0</v>
      </c>
    </row>
    <row r="25" spans="1:30" x14ac:dyDescent="0.25">
      <c r="A25" s="68"/>
      <c r="B25" s="77"/>
      <c r="C25" s="69"/>
      <c r="D25" s="69"/>
      <c r="E25" s="71"/>
      <c r="F25" s="77"/>
      <c r="G25" s="69"/>
      <c r="H25" s="69"/>
      <c r="I25" s="71"/>
      <c r="J25" s="77"/>
      <c r="K25" s="69"/>
      <c r="L25" s="69"/>
      <c r="M25" s="71"/>
      <c r="N25" s="77"/>
      <c r="O25" s="69"/>
      <c r="P25" s="69"/>
      <c r="Q25" s="71"/>
      <c r="R25" s="77"/>
      <c r="S25" s="69"/>
      <c r="T25" s="69"/>
      <c r="U25" s="71"/>
      <c r="V25" s="77"/>
      <c r="W25" s="69"/>
      <c r="X25" s="69"/>
      <c r="Y25" s="71"/>
      <c r="Z25" s="77"/>
      <c r="AA25" s="73"/>
      <c r="AB25" s="69"/>
      <c r="AC25" s="75"/>
      <c r="AD25" s="21">
        <f t="shared" si="0"/>
        <v>0</v>
      </c>
    </row>
    <row r="26" spans="1:30" x14ac:dyDescent="0.25">
      <c r="A26" s="68"/>
      <c r="B26" s="77"/>
      <c r="C26" s="69"/>
      <c r="D26" s="69"/>
      <c r="E26" s="71"/>
      <c r="F26" s="77"/>
      <c r="G26" s="69"/>
      <c r="H26" s="69"/>
      <c r="I26" s="71"/>
      <c r="J26" s="77"/>
      <c r="K26" s="69"/>
      <c r="L26" s="69"/>
      <c r="M26" s="71"/>
      <c r="N26" s="77"/>
      <c r="O26" s="69"/>
      <c r="P26" s="69"/>
      <c r="Q26" s="71"/>
      <c r="R26" s="77"/>
      <c r="S26" s="69"/>
      <c r="T26" s="69"/>
      <c r="U26" s="71"/>
      <c r="V26" s="77"/>
      <c r="W26" s="69"/>
      <c r="X26" s="69"/>
      <c r="Y26" s="71"/>
      <c r="Z26" s="77"/>
      <c r="AA26" s="73"/>
      <c r="AB26" s="69"/>
      <c r="AC26" s="75"/>
      <c r="AD26" s="21">
        <f t="shared" si="0"/>
        <v>0</v>
      </c>
    </row>
    <row r="27" spans="1:30" x14ac:dyDescent="0.25">
      <c r="A27" s="68"/>
      <c r="B27" s="77"/>
      <c r="C27" s="69"/>
      <c r="D27" s="69"/>
      <c r="E27" s="71"/>
      <c r="F27" s="77"/>
      <c r="G27" s="69"/>
      <c r="H27" s="69"/>
      <c r="I27" s="71"/>
      <c r="J27" s="77"/>
      <c r="K27" s="69"/>
      <c r="L27" s="69"/>
      <c r="M27" s="71"/>
      <c r="N27" s="77"/>
      <c r="O27" s="69"/>
      <c r="P27" s="69"/>
      <c r="Q27" s="71"/>
      <c r="R27" s="77"/>
      <c r="S27" s="69"/>
      <c r="T27" s="69"/>
      <c r="U27" s="71"/>
      <c r="V27" s="77"/>
      <c r="W27" s="69"/>
      <c r="X27" s="69"/>
      <c r="Y27" s="71"/>
      <c r="Z27" s="77"/>
      <c r="AA27" s="73"/>
      <c r="AB27" s="69"/>
      <c r="AC27" s="75"/>
      <c r="AD27" s="21">
        <f t="shared" si="0"/>
        <v>0</v>
      </c>
    </row>
    <row r="28" spans="1:30" x14ac:dyDescent="0.25">
      <c r="A28" s="68"/>
      <c r="B28" s="77"/>
      <c r="C28" s="69"/>
      <c r="D28" s="69"/>
      <c r="E28" s="71"/>
      <c r="F28" s="77"/>
      <c r="G28" s="69"/>
      <c r="H28" s="69"/>
      <c r="I28" s="71"/>
      <c r="J28" s="77"/>
      <c r="K28" s="69"/>
      <c r="L28" s="69"/>
      <c r="M28" s="71"/>
      <c r="N28" s="77"/>
      <c r="O28" s="69"/>
      <c r="P28" s="69"/>
      <c r="Q28" s="71"/>
      <c r="R28" s="77"/>
      <c r="S28" s="69"/>
      <c r="T28" s="69"/>
      <c r="U28" s="71"/>
      <c r="V28" s="77"/>
      <c r="W28" s="69"/>
      <c r="X28" s="69"/>
      <c r="Y28" s="71"/>
      <c r="Z28" s="77"/>
      <c r="AA28" s="73"/>
      <c r="AB28" s="69"/>
      <c r="AC28" s="75"/>
      <c r="AD28" s="21">
        <f t="shared" si="0"/>
        <v>0</v>
      </c>
    </row>
    <row r="29" spans="1:30" ht="15.75" thickBot="1" x14ac:dyDescent="0.3">
      <c r="A29" s="68"/>
      <c r="B29" s="78"/>
      <c r="C29" s="70"/>
      <c r="D29" s="70"/>
      <c r="E29" s="72"/>
      <c r="F29" s="78"/>
      <c r="G29" s="70"/>
      <c r="H29" s="70"/>
      <c r="I29" s="72"/>
      <c r="J29" s="78"/>
      <c r="K29" s="70"/>
      <c r="L29" s="70"/>
      <c r="M29" s="72"/>
      <c r="N29" s="78"/>
      <c r="O29" s="70"/>
      <c r="P29" s="70"/>
      <c r="Q29" s="72"/>
      <c r="R29" s="78"/>
      <c r="S29" s="70"/>
      <c r="T29" s="70"/>
      <c r="U29" s="72"/>
      <c r="V29" s="78"/>
      <c r="W29" s="70"/>
      <c r="X29" s="70"/>
      <c r="Y29" s="72"/>
      <c r="Z29" s="78"/>
      <c r="AA29" s="74"/>
      <c r="AB29" s="70"/>
      <c r="AC29" s="76"/>
      <c r="AD29" s="22">
        <f t="shared" si="0"/>
        <v>0</v>
      </c>
    </row>
    <row r="30" spans="1:30" x14ac:dyDescent="0.25">
      <c r="A30" s="1"/>
      <c r="B30" s="1"/>
      <c r="C30" s="1">
        <f>SUM(C13:C29)</f>
        <v>0</v>
      </c>
      <c r="D30" s="1"/>
      <c r="E30" s="1">
        <f>SUM(E13:E29)</f>
        <v>2</v>
      </c>
      <c r="F30" s="1"/>
      <c r="G30" s="1">
        <f>SUM(G13:G29)</f>
        <v>0</v>
      </c>
      <c r="H30" s="1"/>
      <c r="I30" s="1">
        <f>SUM(I13:I29)</f>
        <v>2</v>
      </c>
      <c r="J30" s="1"/>
      <c r="K30" s="1">
        <f>SUM(K13:K29)</f>
        <v>0</v>
      </c>
      <c r="L30" s="1"/>
      <c r="M30" s="1">
        <f>SUM(M13:M29)</f>
        <v>0</v>
      </c>
      <c r="N30" s="1"/>
      <c r="O30" s="1">
        <f>SUM(O13:O29)</f>
        <v>0</v>
      </c>
      <c r="P30" s="1"/>
      <c r="Q30" s="1">
        <f>SUM(Q13:Q29)</f>
        <v>0</v>
      </c>
      <c r="R30" s="1"/>
      <c r="S30" s="1">
        <f>SUM(S13:S29)</f>
        <v>0</v>
      </c>
      <c r="T30" s="1"/>
      <c r="U30" s="1">
        <f>SUM(U13:U29)</f>
        <v>3</v>
      </c>
      <c r="V30" s="1"/>
      <c r="W30" s="1">
        <f>SUM(W13:W29)</f>
        <v>3</v>
      </c>
      <c r="X30" s="1"/>
      <c r="Y30" s="1">
        <f>SUM(Y13:Y29)</f>
        <v>2</v>
      </c>
      <c r="Z30" s="1"/>
      <c r="AA30" s="1">
        <f>SUM(AA13:AA29)</f>
        <v>0</v>
      </c>
      <c r="AB30" s="1"/>
      <c r="AC30" s="1">
        <f>SUM(AC13:AC29)</f>
        <v>0</v>
      </c>
      <c r="AD30" s="18">
        <f t="shared" si="0"/>
        <v>12</v>
      </c>
    </row>
  </sheetData>
  <sheetProtection sheet="1" objects="1" scenarios="1" selectLockedCells="1"/>
  <mergeCells count="8">
    <mergeCell ref="V10:X10"/>
    <mergeCell ref="Z10:AB10"/>
    <mergeCell ref="B3:F3"/>
    <mergeCell ref="B10:D10"/>
    <mergeCell ref="F10:H10"/>
    <mergeCell ref="J10:L10"/>
    <mergeCell ref="N10:P10"/>
    <mergeCell ref="R10:T10"/>
  </mergeCells>
  <dataValidations count="2">
    <dataValidation type="list" allowBlank="1" showInputMessage="1" showErrorMessage="1" sqref="A13:A29">
      <formula1>equipe</formula1>
    </dataValidation>
    <dataValidation type="list" allowBlank="1" showInputMessage="1" showErrorMessage="1" sqref="B13:B29 H13:H29 L13:L29 P13:P29 T13:T29 X13:X29 D13:D29 F13:F29 J13:J29 N13:N29 R13:R29 V13:V29 Z13:Z29 AB13:AB29">
      <formula1>taches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outon 2">
              <controlPr defaultSize="0" print="0" autoFill="0" autoPict="0" macro="[0]!Recherche_tache">
                <anchor moveWithCells="1" sizeWithCells="1">
                  <from>
                    <xdr:col>11</xdr:col>
                    <xdr:colOff>9525</xdr:colOff>
                    <xdr:row>6</xdr:row>
                    <xdr:rowOff>171450</xdr:rowOff>
                  </from>
                  <to>
                    <xdr:col>11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AD30"/>
  <sheetViews>
    <sheetView topLeftCell="G6" workbookViewId="0">
      <selection activeCell="A13" sqref="A13"/>
    </sheetView>
  </sheetViews>
  <sheetFormatPr baseColWidth="10" defaultRowHeight="15" x14ac:dyDescent="0.25"/>
  <cols>
    <col min="2" max="2" width="11.7109375" customWidth="1"/>
    <col min="3" max="3" width="3.85546875" customWidth="1"/>
    <col min="4" max="4" width="11.7109375" customWidth="1"/>
    <col min="5" max="5" width="3.85546875" customWidth="1"/>
    <col min="6" max="6" width="11.7109375" customWidth="1"/>
    <col min="7" max="7" width="3.85546875" customWidth="1"/>
    <col min="8" max="8" width="11.7109375" customWidth="1"/>
    <col min="9" max="9" width="3.85546875" customWidth="1"/>
    <col min="10" max="10" width="11.7109375" customWidth="1"/>
    <col min="11" max="11" width="3.85546875" customWidth="1"/>
    <col min="12" max="12" width="11.7109375" customWidth="1"/>
    <col min="13" max="13" width="3.85546875" customWidth="1"/>
    <col min="14" max="14" width="11.7109375" customWidth="1"/>
    <col min="15" max="15" width="3.85546875" customWidth="1"/>
    <col min="16" max="16" width="11.7109375" customWidth="1"/>
    <col min="17" max="17" width="3.85546875" customWidth="1"/>
    <col min="18" max="18" width="11.7109375" customWidth="1"/>
    <col min="19" max="19" width="3.85546875" customWidth="1"/>
    <col min="20" max="20" width="11.7109375" customWidth="1"/>
    <col min="21" max="21" width="3.85546875" customWidth="1"/>
    <col min="22" max="22" width="11.7109375" customWidth="1"/>
    <col min="23" max="23" width="3.85546875" customWidth="1"/>
    <col min="24" max="24" width="11.7109375" customWidth="1"/>
    <col min="25" max="25" width="3.85546875" customWidth="1"/>
    <col min="26" max="26" width="11.7109375" customWidth="1"/>
    <col min="27" max="27" width="3.7109375" customWidth="1"/>
    <col min="28" max="28" width="10.28515625" customWidth="1"/>
    <col min="29" max="29" width="4.140625" customWidth="1"/>
  </cols>
  <sheetData>
    <row r="1" spans="1:30" ht="15.75" thickBot="1" x14ac:dyDescent="0.3">
      <c r="A1" s="1"/>
      <c r="B1" s="43" t="s">
        <v>5</v>
      </c>
      <c r="C1" s="44">
        <v>6</v>
      </c>
      <c r="D1" s="45" t="s">
        <v>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3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0" x14ac:dyDescent="0.25">
      <c r="A3" s="1"/>
      <c r="B3" s="83" t="s">
        <v>20</v>
      </c>
      <c r="C3" s="83"/>
      <c r="D3" s="83"/>
      <c r="E3" s="83"/>
      <c r="F3" s="83"/>
      <c r="G3" s="46">
        <f>E10+I10+M10+Q10+U10+Y10+AC10</f>
        <v>6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0" x14ac:dyDescent="0.25">
      <c r="A4" s="1"/>
      <c r="B4" s="47"/>
      <c r="C4" s="47"/>
      <c r="D4" s="47"/>
      <c r="E4" s="47"/>
      <c r="F4" s="48" t="str">
        <f>Resume!A5</f>
        <v>Adrien</v>
      </c>
      <c r="G4" s="48">
        <v>0</v>
      </c>
      <c r="H4" s="1"/>
      <c r="I4" s="1"/>
      <c r="J4" s="1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30" x14ac:dyDescent="0.25">
      <c r="A5" s="1"/>
      <c r="B5" s="47"/>
      <c r="C5" s="47"/>
      <c r="D5" s="47"/>
      <c r="E5" s="47"/>
      <c r="F5" s="48" t="str">
        <f>Resume!A6</f>
        <v>Abdoulaye</v>
      </c>
      <c r="G5" s="48">
        <v>0</v>
      </c>
      <c r="H5" s="1"/>
      <c r="I5" s="1"/>
      <c r="J5" s="1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30" x14ac:dyDescent="0.25">
      <c r="A6" s="1"/>
      <c r="B6" s="47"/>
      <c r="C6" s="47"/>
      <c r="D6" s="47"/>
      <c r="E6" s="47"/>
      <c r="F6" s="48" t="str">
        <f>Resume!A7</f>
        <v>Shawez</v>
      </c>
      <c r="G6" s="48">
        <v>0</v>
      </c>
      <c r="H6" s="1"/>
      <c r="I6" s="1"/>
      <c r="J6" s="1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30" x14ac:dyDescent="0.25">
      <c r="A7" s="1"/>
      <c r="B7" s="49"/>
      <c r="C7" s="49"/>
      <c r="D7" s="49"/>
      <c r="E7" s="49"/>
      <c r="F7" s="48" t="str">
        <f>Resume!A8</f>
        <v>Nadir</v>
      </c>
      <c r="G7" s="48">
        <v>0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30" x14ac:dyDescent="0.25">
      <c r="A8" s="1"/>
      <c r="B8" s="49"/>
      <c r="C8" s="49"/>
      <c r="D8" s="49"/>
      <c r="E8" s="49"/>
      <c r="F8" s="48" t="str">
        <f>Resume!A9</f>
        <v>L'équipe</v>
      </c>
      <c r="G8" s="48">
        <v>6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30" ht="15.75" thickBot="1" x14ac:dyDescent="0.3">
      <c r="A9" s="1"/>
      <c r="B9" s="1"/>
      <c r="C9" s="1"/>
      <c r="D9" s="1"/>
      <c r="E9" s="1"/>
      <c r="F9" s="1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30" ht="30" x14ac:dyDescent="0.25">
      <c r="A10" s="12" t="s">
        <v>24</v>
      </c>
      <c r="B10" s="84" t="s">
        <v>25</v>
      </c>
      <c r="C10" s="85"/>
      <c r="D10" s="86"/>
      <c r="E10" s="16">
        <f>C30+E30</f>
        <v>0</v>
      </c>
      <c r="F10" s="84" t="s">
        <v>26</v>
      </c>
      <c r="G10" s="85"/>
      <c r="H10" s="86"/>
      <c r="I10" s="16">
        <f>G30+I30</f>
        <v>2</v>
      </c>
      <c r="J10" s="80" t="s">
        <v>27</v>
      </c>
      <c r="K10" s="81"/>
      <c r="L10" s="82"/>
      <c r="M10" s="16">
        <f>K30+M30</f>
        <v>0</v>
      </c>
      <c r="N10" s="80" t="s">
        <v>28</v>
      </c>
      <c r="O10" s="81"/>
      <c r="P10" s="82"/>
      <c r="Q10" s="16">
        <f>O30+Q30</f>
        <v>0</v>
      </c>
      <c r="R10" s="80" t="s">
        <v>29</v>
      </c>
      <c r="S10" s="81"/>
      <c r="T10" s="82"/>
      <c r="U10" s="16">
        <f>S30+U30</f>
        <v>2</v>
      </c>
      <c r="V10" s="80" t="s">
        <v>30</v>
      </c>
      <c r="W10" s="81"/>
      <c r="X10" s="82"/>
      <c r="Y10" s="16">
        <f>W30+Y30</f>
        <v>2</v>
      </c>
      <c r="Z10" s="80" t="s">
        <v>31</v>
      </c>
      <c r="AA10" s="81"/>
      <c r="AB10" s="82"/>
      <c r="AC10" s="16">
        <f>AA30+AC30</f>
        <v>0</v>
      </c>
      <c r="AD10" s="19"/>
    </row>
    <row r="11" spans="1:30" x14ac:dyDescent="0.25">
      <c r="A11" s="13"/>
      <c r="B11" s="14">
        <f>Resume!D1+($C$1-1)*7</f>
        <v>43090</v>
      </c>
      <c r="C11" s="6"/>
      <c r="D11" s="7"/>
      <c r="E11" s="17"/>
      <c r="F11" s="14">
        <f>B11+1</f>
        <v>43091</v>
      </c>
      <c r="G11" s="6"/>
      <c r="H11" s="7"/>
      <c r="I11" s="15"/>
      <c r="J11" s="14">
        <f>F11+1</f>
        <v>43092</v>
      </c>
      <c r="K11" s="6"/>
      <c r="L11" s="7"/>
      <c r="M11" s="15"/>
      <c r="N11" s="14">
        <f>J11+1</f>
        <v>43093</v>
      </c>
      <c r="O11" s="6"/>
      <c r="P11" s="7"/>
      <c r="Q11" s="15"/>
      <c r="R11" s="14">
        <f>N11+1</f>
        <v>43094</v>
      </c>
      <c r="S11" s="6"/>
      <c r="T11" s="7"/>
      <c r="U11" s="15"/>
      <c r="V11" s="14">
        <f>R11+1</f>
        <v>43095</v>
      </c>
      <c r="W11" s="6"/>
      <c r="X11" s="7"/>
      <c r="Y11" s="15"/>
      <c r="Z11" s="14">
        <f>V11+1</f>
        <v>43096</v>
      </c>
      <c r="AA11" s="9"/>
      <c r="AB11" s="7"/>
      <c r="AC11" s="10"/>
      <c r="AD11" s="20" t="s">
        <v>22</v>
      </c>
    </row>
    <row r="12" spans="1:30" s="8" customFormat="1" ht="45" x14ac:dyDescent="0.25">
      <c r="A12" s="36" t="s">
        <v>4</v>
      </c>
      <c r="B12" s="37" t="s">
        <v>33</v>
      </c>
      <c r="C12" s="38" t="s">
        <v>16</v>
      </c>
      <c r="D12" s="38" t="s">
        <v>34</v>
      </c>
      <c r="E12" s="39" t="s">
        <v>16</v>
      </c>
      <c r="F12" s="37" t="s">
        <v>35</v>
      </c>
      <c r="G12" s="38" t="s">
        <v>16</v>
      </c>
      <c r="H12" s="38" t="s">
        <v>36</v>
      </c>
      <c r="I12" s="39" t="s">
        <v>16</v>
      </c>
      <c r="J12" s="37" t="s">
        <v>8</v>
      </c>
      <c r="K12" s="38" t="s">
        <v>16</v>
      </c>
      <c r="L12" s="38" t="s">
        <v>9</v>
      </c>
      <c r="M12" s="39" t="s">
        <v>16</v>
      </c>
      <c r="N12" s="37" t="s">
        <v>37</v>
      </c>
      <c r="O12" s="38" t="s">
        <v>16</v>
      </c>
      <c r="P12" s="38" t="s">
        <v>38</v>
      </c>
      <c r="Q12" s="39" t="s">
        <v>16</v>
      </c>
      <c r="R12" s="37" t="s">
        <v>10</v>
      </c>
      <c r="S12" s="38" t="s">
        <v>16</v>
      </c>
      <c r="T12" s="38" t="s">
        <v>11</v>
      </c>
      <c r="U12" s="39" t="s">
        <v>16</v>
      </c>
      <c r="V12" s="37" t="s">
        <v>12</v>
      </c>
      <c r="W12" s="38" t="s">
        <v>16</v>
      </c>
      <c r="X12" s="38" t="s">
        <v>13</v>
      </c>
      <c r="Y12" s="39" t="s">
        <v>16</v>
      </c>
      <c r="Z12" s="37" t="s">
        <v>14</v>
      </c>
      <c r="AA12" s="40" t="s">
        <v>16</v>
      </c>
      <c r="AB12" s="38" t="s">
        <v>15</v>
      </c>
      <c r="AC12" s="41" t="s">
        <v>16</v>
      </c>
      <c r="AD12" s="42" t="s">
        <v>16</v>
      </c>
    </row>
    <row r="13" spans="1:30" ht="57" x14ac:dyDescent="0.25">
      <c r="A13" s="68" t="s">
        <v>42</v>
      </c>
      <c r="B13" s="77"/>
      <c r="C13" s="69"/>
      <c r="D13" s="69"/>
      <c r="E13" s="71"/>
      <c r="F13" s="77"/>
      <c r="G13" s="69"/>
      <c r="H13" s="69" t="s">
        <v>74</v>
      </c>
      <c r="I13" s="71">
        <v>2</v>
      </c>
      <c r="J13" s="77"/>
      <c r="K13" s="69"/>
      <c r="L13" s="69"/>
      <c r="M13" s="71"/>
      <c r="N13" s="77"/>
      <c r="O13" s="69"/>
      <c r="P13" s="69"/>
      <c r="Q13" s="71"/>
      <c r="R13" s="77"/>
      <c r="S13" s="69"/>
      <c r="T13" s="69" t="s">
        <v>74</v>
      </c>
      <c r="U13" s="71">
        <v>2</v>
      </c>
      <c r="V13" s="69" t="s">
        <v>74</v>
      </c>
      <c r="W13" s="69">
        <v>2</v>
      </c>
      <c r="X13" s="69"/>
      <c r="Y13" s="71"/>
      <c r="Z13" s="77"/>
      <c r="AA13" s="73"/>
      <c r="AB13" s="69"/>
      <c r="AC13" s="75"/>
      <c r="AD13" s="21">
        <f>C13+E13+G13+I13+K13+M13+O13+Q13+S13+U13+W13+Y13+AA13+AC13</f>
        <v>6</v>
      </c>
    </row>
    <row r="14" spans="1:30" x14ac:dyDescent="0.25">
      <c r="A14" s="68"/>
      <c r="B14" s="77"/>
      <c r="C14" s="69"/>
      <c r="D14" s="69"/>
      <c r="E14" s="71"/>
      <c r="F14" s="77"/>
      <c r="G14" s="69"/>
      <c r="H14" s="69"/>
      <c r="I14" s="71"/>
      <c r="J14" s="77"/>
      <c r="K14" s="69"/>
      <c r="L14" s="69"/>
      <c r="M14" s="71"/>
      <c r="N14" s="77"/>
      <c r="O14" s="69"/>
      <c r="P14" s="69"/>
      <c r="Q14" s="71"/>
      <c r="R14" s="77"/>
      <c r="S14" s="69"/>
      <c r="T14" s="69"/>
      <c r="U14" s="71"/>
      <c r="V14" s="77"/>
      <c r="W14" s="69"/>
      <c r="X14" s="69"/>
      <c r="Y14" s="71"/>
      <c r="Z14" s="77"/>
      <c r="AA14" s="73"/>
      <c r="AB14" s="69"/>
      <c r="AC14" s="75"/>
      <c r="AD14" s="21">
        <f>C14+E14+G14+I14+K14+M14+O14+Q14+S14+U14+W14+Y14+AA14+AC14</f>
        <v>0</v>
      </c>
    </row>
    <row r="15" spans="1:30" x14ac:dyDescent="0.25">
      <c r="A15" s="68"/>
      <c r="B15" s="77"/>
      <c r="C15" s="69"/>
      <c r="D15" s="69"/>
      <c r="E15" s="71"/>
      <c r="F15" s="77"/>
      <c r="G15" s="69"/>
      <c r="H15" s="69"/>
      <c r="I15" s="71"/>
      <c r="J15" s="77"/>
      <c r="K15" s="69"/>
      <c r="L15" s="69"/>
      <c r="M15" s="71"/>
      <c r="N15" s="77"/>
      <c r="O15" s="69"/>
      <c r="P15" s="69"/>
      <c r="Q15" s="71"/>
      <c r="R15" s="77"/>
      <c r="S15" s="69"/>
      <c r="T15" s="69"/>
      <c r="U15" s="71"/>
      <c r="V15" s="77"/>
      <c r="W15" s="69"/>
      <c r="X15" s="69"/>
      <c r="Y15" s="71"/>
      <c r="Z15" s="77"/>
      <c r="AA15" s="73"/>
      <c r="AB15" s="69"/>
      <c r="AC15" s="75"/>
      <c r="AD15" s="21">
        <f t="shared" ref="AD15:AD30" si="0">C15+E15+G15+I15+K15+M15+O15+Q15+S15+U15+W15+Y15+AA15+AC15</f>
        <v>0</v>
      </c>
    </row>
    <row r="16" spans="1:30" x14ac:dyDescent="0.25">
      <c r="A16" s="68"/>
      <c r="B16" s="77"/>
      <c r="C16" s="69"/>
      <c r="D16" s="69"/>
      <c r="E16" s="71"/>
      <c r="F16" s="77"/>
      <c r="G16" s="69"/>
      <c r="H16" s="69"/>
      <c r="I16" s="71"/>
      <c r="J16" s="77"/>
      <c r="K16" s="69"/>
      <c r="L16" s="69"/>
      <c r="M16" s="71"/>
      <c r="N16" s="77"/>
      <c r="O16" s="69"/>
      <c r="P16" s="69"/>
      <c r="Q16" s="71"/>
      <c r="R16" s="77"/>
      <c r="S16" s="69"/>
      <c r="T16" s="69"/>
      <c r="U16" s="71"/>
      <c r="V16" s="77"/>
      <c r="W16" s="69"/>
      <c r="X16" s="69"/>
      <c r="Y16" s="71"/>
      <c r="Z16" s="77"/>
      <c r="AA16" s="69"/>
      <c r="AB16" s="69"/>
      <c r="AC16" s="71"/>
      <c r="AD16" s="21">
        <f t="shared" si="0"/>
        <v>0</v>
      </c>
    </row>
    <row r="17" spans="1:30" x14ac:dyDescent="0.25">
      <c r="A17" s="68"/>
      <c r="B17" s="77"/>
      <c r="C17" s="69"/>
      <c r="D17" s="69"/>
      <c r="E17" s="71"/>
      <c r="F17" s="77"/>
      <c r="G17" s="69"/>
      <c r="H17" s="69"/>
      <c r="I17" s="71"/>
      <c r="J17" s="77"/>
      <c r="K17" s="69"/>
      <c r="L17" s="69"/>
      <c r="M17" s="71"/>
      <c r="N17" s="77"/>
      <c r="O17" s="69"/>
      <c r="P17" s="69"/>
      <c r="Q17" s="71"/>
      <c r="R17" s="77"/>
      <c r="S17" s="69"/>
      <c r="T17" s="69"/>
      <c r="U17" s="71"/>
      <c r="V17" s="77"/>
      <c r="W17" s="69"/>
      <c r="X17" s="69"/>
      <c r="Y17" s="71"/>
      <c r="Z17" s="77"/>
      <c r="AA17" s="73"/>
      <c r="AB17" s="69"/>
      <c r="AC17" s="75"/>
      <c r="AD17" s="21">
        <f t="shared" si="0"/>
        <v>0</v>
      </c>
    </row>
    <row r="18" spans="1:30" x14ac:dyDescent="0.25">
      <c r="A18" s="68"/>
      <c r="B18" s="77"/>
      <c r="C18" s="69"/>
      <c r="D18" s="69"/>
      <c r="E18" s="71"/>
      <c r="F18" s="77"/>
      <c r="G18" s="69"/>
      <c r="H18" s="69"/>
      <c r="I18" s="71"/>
      <c r="J18" s="77"/>
      <c r="K18" s="69"/>
      <c r="L18" s="69"/>
      <c r="M18" s="71"/>
      <c r="N18" s="77"/>
      <c r="O18" s="69"/>
      <c r="P18" s="69"/>
      <c r="Q18" s="71"/>
      <c r="R18" s="77"/>
      <c r="S18" s="69"/>
      <c r="T18" s="69"/>
      <c r="U18" s="71"/>
      <c r="V18" s="77"/>
      <c r="W18" s="69"/>
      <c r="X18" s="69"/>
      <c r="Y18" s="71"/>
      <c r="Z18" s="77"/>
      <c r="AA18" s="73"/>
      <c r="AB18" s="69"/>
      <c r="AC18" s="75"/>
      <c r="AD18" s="21">
        <f t="shared" si="0"/>
        <v>0</v>
      </c>
    </row>
    <row r="19" spans="1:30" x14ac:dyDescent="0.25">
      <c r="A19" s="68"/>
      <c r="B19" s="77"/>
      <c r="C19" s="69"/>
      <c r="D19" s="69"/>
      <c r="E19" s="71"/>
      <c r="F19" s="77"/>
      <c r="G19" s="69"/>
      <c r="H19" s="69"/>
      <c r="I19" s="71"/>
      <c r="J19" s="77"/>
      <c r="K19" s="69"/>
      <c r="L19" s="69"/>
      <c r="M19" s="71"/>
      <c r="N19" s="77"/>
      <c r="O19" s="69"/>
      <c r="P19" s="69"/>
      <c r="Q19" s="71"/>
      <c r="R19" s="77"/>
      <c r="S19" s="69"/>
      <c r="T19" s="69"/>
      <c r="U19" s="71"/>
      <c r="V19" s="77"/>
      <c r="W19" s="69"/>
      <c r="X19" s="69"/>
      <c r="Y19" s="71"/>
      <c r="Z19" s="77"/>
      <c r="AA19" s="73"/>
      <c r="AB19" s="69"/>
      <c r="AC19" s="75"/>
      <c r="AD19" s="21">
        <f t="shared" si="0"/>
        <v>0</v>
      </c>
    </row>
    <row r="20" spans="1:30" x14ac:dyDescent="0.25">
      <c r="A20" s="68"/>
      <c r="B20" s="77"/>
      <c r="C20" s="69"/>
      <c r="D20" s="69"/>
      <c r="E20" s="71"/>
      <c r="F20" s="77"/>
      <c r="G20" s="69"/>
      <c r="H20" s="69"/>
      <c r="I20" s="71"/>
      <c r="J20" s="77"/>
      <c r="K20" s="69"/>
      <c r="L20" s="69"/>
      <c r="M20" s="71"/>
      <c r="N20" s="77"/>
      <c r="O20" s="69"/>
      <c r="P20" s="69"/>
      <c r="Q20" s="71"/>
      <c r="R20" s="77"/>
      <c r="S20" s="69"/>
      <c r="T20" s="69"/>
      <c r="U20" s="71"/>
      <c r="V20" s="77"/>
      <c r="W20" s="69"/>
      <c r="X20" s="69"/>
      <c r="Y20" s="71"/>
      <c r="Z20" s="77"/>
      <c r="AA20" s="73"/>
      <c r="AB20" s="69"/>
      <c r="AC20" s="75"/>
      <c r="AD20" s="21">
        <f t="shared" si="0"/>
        <v>0</v>
      </c>
    </row>
    <row r="21" spans="1:30" x14ac:dyDescent="0.25">
      <c r="A21" s="68"/>
      <c r="B21" s="77"/>
      <c r="C21" s="69"/>
      <c r="D21" s="69"/>
      <c r="E21" s="71"/>
      <c r="F21" s="77"/>
      <c r="G21" s="69"/>
      <c r="H21" s="69"/>
      <c r="I21" s="71"/>
      <c r="J21" s="77"/>
      <c r="K21" s="69"/>
      <c r="L21" s="69"/>
      <c r="M21" s="71"/>
      <c r="N21" s="77"/>
      <c r="O21" s="69"/>
      <c r="P21" s="69"/>
      <c r="Q21" s="71"/>
      <c r="R21" s="77"/>
      <c r="S21" s="69"/>
      <c r="T21" s="69"/>
      <c r="U21" s="71"/>
      <c r="V21" s="77"/>
      <c r="W21" s="69"/>
      <c r="X21" s="69"/>
      <c r="Y21" s="71"/>
      <c r="Z21" s="77"/>
      <c r="AA21" s="73"/>
      <c r="AB21" s="69"/>
      <c r="AC21" s="75"/>
      <c r="AD21" s="21">
        <f t="shared" si="0"/>
        <v>0</v>
      </c>
    </row>
    <row r="22" spans="1:30" x14ac:dyDescent="0.25">
      <c r="A22" s="68"/>
      <c r="B22" s="77"/>
      <c r="C22" s="69"/>
      <c r="D22" s="69"/>
      <c r="E22" s="71"/>
      <c r="F22" s="77"/>
      <c r="G22" s="69"/>
      <c r="H22" s="69"/>
      <c r="I22" s="71"/>
      <c r="J22" s="77"/>
      <c r="K22" s="69"/>
      <c r="L22" s="69"/>
      <c r="M22" s="71"/>
      <c r="N22" s="77"/>
      <c r="O22" s="69"/>
      <c r="P22" s="69"/>
      <c r="Q22" s="71"/>
      <c r="R22" s="77"/>
      <c r="S22" s="69"/>
      <c r="T22" s="69"/>
      <c r="U22" s="71"/>
      <c r="V22" s="77"/>
      <c r="W22" s="69"/>
      <c r="X22" s="69"/>
      <c r="Y22" s="71"/>
      <c r="Z22" s="77"/>
      <c r="AA22" s="73"/>
      <c r="AB22" s="69"/>
      <c r="AC22" s="75"/>
      <c r="AD22" s="21">
        <f t="shared" si="0"/>
        <v>0</v>
      </c>
    </row>
    <row r="23" spans="1:30" x14ac:dyDescent="0.25">
      <c r="A23" s="68"/>
      <c r="B23" s="77"/>
      <c r="C23" s="69"/>
      <c r="D23" s="69"/>
      <c r="E23" s="71"/>
      <c r="F23" s="77"/>
      <c r="G23" s="69"/>
      <c r="H23" s="69"/>
      <c r="I23" s="71"/>
      <c r="J23" s="77"/>
      <c r="K23" s="69"/>
      <c r="L23" s="69"/>
      <c r="M23" s="71"/>
      <c r="N23" s="77"/>
      <c r="O23" s="69"/>
      <c r="P23" s="69"/>
      <c r="Q23" s="71"/>
      <c r="R23" s="77"/>
      <c r="S23" s="69"/>
      <c r="T23" s="69"/>
      <c r="U23" s="71"/>
      <c r="V23" s="77"/>
      <c r="W23" s="69"/>
      <c r="X23" s="69"/>
      <c r="Y23" s="71"/>
      <c r="Z23" s="77"/>
      <c r="AA23" s="73"/>
      <c r="AB23" s="69"/>
      <c r="AC23" s="75"/>
      <c r="AD23" s="21">
        <f t="shared" si="0"/>
        <v>0</v>
      </c>
    </row>
    <row r="24" spans="1:30" x14ac:dyDescent="0.25">
      <c r="A24" s="68"/>
      <c r="B24" s="77"/>
      <c r="C24" s="69"/>
      <c r="D24" s="69"/>
      <c r="E24" s="71"/>
      <c r="F24" s="77"/>
      <c r="G24" s="69"/>
      <c r="H24" s="69"/>
      <c r="I24" s="71"/>
      <c r="J24" s="77"/>
      <c r="K24" s="69"/>
      <c r="L24" s="69"/>
      <c r="M24" s="71"/>
      <c r="N24" s="77"/>
      <c r="O24" s="69"/>
      <c r="P24" s="69"/>
      <c r="Q24" s="71"/>
      <c r="R24" s="77"/>
      <c r="S24" s="69"/>
      <c r="T24" s="69"/>
      <c r="U24" s="71"/>
      <c r="V24" s="77"/>
      <c r="W24" s="69"/>
      <c r="X24" s="69"/>
      <c r="Y24" s="71"/>
      <c r="Z24" s="77"/>
      <c r="AA24" s="73"/>
      <c r="AB24" s="69"/>
      <c r="AC24" s="75"/>
      <c r="AD24" s="21">
        <f t="shared" si="0"/>
        <v>0</v>
      </c>
    </row>
    <row r="25" spans="1:30" x14ac:dyDescent="0.25">
      <c r="A25" s="68"/>
      <c r="B25" s="77"/>
      <c r="C25" s="69"/>
      <c r="D25" s="69"/>
      <c r="E25" s="71"/>
      <c r="F25" s="77"/>
      <c r="G25" s="69"/>
      <c r="H25" s="69"/>
      <c r="I25" s="71"/>
      <c r="J25" s="77"/>
      <c r="K25" s="69"/>
      <c r="L25" s="69"/>
      <c r="M25" s="71"/>
      <c r="N25" s="77"/>
      <c r="O25" s="69"/>
      <c r="P25" s="69"/>
      <c r="Q25" s="71"/>
      <c r="R25" s="77"/>
      <c r="S25" s="69"/>
      <c r="T25" s="69"/>
      <c r="U25" s="71"/>
      <c r="V25" s="77"/>
      <c r="W25" s="69"/>
      <c r="X25" s="69"/>
      <c r="Y25" s="71"/>
      <c r="Z25" s="77"/>
      <c r="AA25" s="73"/>
      <c r="AB25" s="69"/>
      <c r="AC25" s="75"/>
      <c r="AD25" s="21">
        <f t="shared" si="0"/>
        <v>0</v>
      </c>
    </row>
    <row r="26" spans="1:30" x14ac:dyDescent="0.25">
      <c r="A26" s="68"/>
      <c r="B26" s="77"/>
      <c r="C26" s="69"/>
      <c r="D26" s="69"/>
      <c r="E26" s="71"/>
      <c r="F26" s="77"/>
      <c r="G26" s="69"/>
      <c r="H26" s="69"/>
      <c r="I26" s="71"/>
      <c r="J26" s="77"/>
      <c r="K26" s="69"/>
      <c r="L26" s="69"/>
      <c r="M26" s="71"/>
      <c r="N26" s="77"/>
      <c r="O26" s="69"/>
      <c r="P26" s="69"/>
      <c r="Q26" s="71"/>
      <c r="R26" s="77"/>
      <c r="S26" s="69"/>
      <c r="T26" s="69"/>
      <c r="U26" s="71"/>
      <c r="V26" s="77"/>
      <c r="W26" s="69"/>
      <c r="X26" s="69"/>
      <c r="Y26" s="71"/>
      <c r="Z26" s="77"/>
      <c r="AA26" s="73"/>
      <c r="AB26" s="69"/>
      <c r="AC26" s="75"/>
      <c r="AD26" s="21">
        <f t="shared" si="0"/>
        <v>0</v>
      </c>
    </row>
    <row r="27" spans="1:30" x14ac:dyDescent="0.25">
      <c r="A27" s="68"/>
      <c r="B27" s="77"/>
      <c r="C27" s="69"/>
      <c r="D27" s="69"/>
      <c r="E27" s="71"/>
      <c r="F27" s="77"/>
      <c r="G27" s="69"/>
      <c r="H27" s="69"/>
      <c r="I27" s="71"/>
      <c r="J27" s="77"/>
      <c r="K27" s="69"/>
      <c r="L27" s="69"/>
      <c r="M27" s="71"/>
      <c r="N27" s="77"/>
      <c r="O27" s="69"/>
      <c r="P27" s="69"/>
      <c r="Q27" s="71"/>
      <c r="R27" s="77"/>
      <c r="S27" s="69"/>
      <c r="T27" s="69"/>
      <c r="U27" s="71"/>
      <c r="V27" s="77"/>
      <c r="W27" s="69"/>
      <c r="X27" s="69"/>
      <c r="Y27" s="71"/>
      <c r="Z27" s="77"/>
      <c r="AA27" s="73"/>
      <c r="AB27" s="69"/>
      <c r="AC27" s="75"/>
      <c r="AD27" s="21">
        <f t="shared" si="0"/>
        <v>0</v>
      </c>
    </row>
    <row r="28" spans="1:30" x14ac:dyDescent="0.25">
      <c r="A28" s="68"/>
      <c r="B28" s="77"/>
      <c r="C28" s="69"/>
      <c r="D28" s="69"/>
      <c r="E28" s="71"/>
      <c r="F28" s="77"/>
      <c r="G28" s="69"/>
      <c r="H28" s="69"/>
      <c r="I28" s="71"/>
      <c r="J28" s="77"/>
      <c r="K28" s="69"/>
      <c r="L28" s="69"/>
      <c r="M28" s="71"/>
      <c r="N28" s="77"/>
      <c r="O28" s="69"/>
      <c r="P28" s="69"/>
      <c r="Q28" s="71"/>
      <c r="R28" s="77"/>
      <c r="S28" s="69"/>
      <c r="T28" s="69"/>
      <c r="U28" s="71"/>
      <c r="V28" s="77"/>
      <c r="W28" s="69"/>
      <c r="X28" s="69"/>
      <c r="Y28" s="71"/>
      <c r="Z28" s="77"/>
      <c r="AA28" s="73"/>
      <c r="AB28" s="69"/>
      <c r="AC28" s="75"/>
      <c r="AD28" s="21">
        <f t="shared" si="0"/>
        <v>0</v>
      </c>
    </row>
    <row r="29" spans="1:30" ht="15.75" thickBot="1" x14ac:dyDescent="0.3">
      <c r="A29" s="68"/>
      <c r="B29" s="78"/>
      <c r="C29" s="70"/>
      <c r="D29" s="70"/>
      <c r="E29" s="72"/>
      <c r="F29" s="78"/>
      <c r="G29" s="70"/>
      <c r="H29" s="70"/>
      <c r="I29" s="72"/>
      <c r="J29" s="78"/>
      <c r="K29" s="70"/>
      <c r="L29" s="70"/>
      <c r="M29" s="72"/>
      <c r="N29" s="78"/>
      <c r="O29" s="70"/>
      <c r="P29" s="70"/>
      <c r="Q29" s="72"/>
      <c r="R29" s="78"/>
      <c r="S29" s="70"/>
      <c r="T29" s="70"/>
      <c r="U29" s="72"/>
      <c r="V29" s="78"/>
      <c r="W29" s="70"/>
      <c r="X29" s="70"/>
      <c r="Y29" s="72"/>
      <c r="Z29" s="78"/>
      <c r="AA29" s="74"/>
      <c r="AB29" s="70"/>
      <c r="AC29" s="76"/>
      <c r="AD29" s="22">
        <f t="shared" si="0"/>
        <v>0</v>
      </c>
    </row>
    <row r="30" spans="1:30" x14ac:dyDescent="0.25">
      <c r="A30" s="1"/>
      <c r="B30" s="1"/>
      <c r="C30" s="1">
        <f>SUM(C13:C29)</f>
        <v>0</v>
      </c>
      <c r="D30" s="1"/>
      <c r="E30" s="1">
        <f>SUM(E13:E29)</f>
        <v>0</v>
      </c>
      <c r="F30" s="1"/>
      <c r="G30" s="1">
        <f>SUM(G13:G29)</f>
        <v>0</v>
      </c>
      <c r="H30" s="1"/>
      <c r="I30" s="1">
        <f>SUM(I13:I29)</f>
        <v>2</v>
      </c>
      <c r="J30" s="1"/>
      <c r="K30" s="1">
        <f>SUM(K13:K29)</f>
        <v>0</v>
      </c>
      <c r="L30" s="1"/>
      <c r="M30" s="1">
        <f>SUM(M13:M29)</f>
        <v>0</v>
      </c>
      <c r="N30" s="1"/>
      <c r="O30" s="1">
        <f>SUM(O13:O29)</f>
        <v>0</v>
      </c>
      <c r="P30" s="1"/>
      <c r="Q30" s="1">
        <f>SUM(Q13:Q29)</f>
        <v>0</v>
      </c>
      <c r="R30" s="1"/>
      <c r="S30" s="1">
        <f>SUM(S13:S29)</f>
        <v>0</v>
      </c>
      <c r="T30" s="1"/>
      <c r="U30" s="1">
        <f>SUM(U13:U29)</f>
        <v>2</v>
      </c>
      <c r="V30" s="1"/>
      <c r="W30" s="1">
        <f>SUM(W13:W29)</f>
        <v>2</v>
      </c>
      <c r="X30" s="1"/>
      <c r="Y30" s="1">
        <f>SUM(Y13:Y29)</f>
        <v>0</v>
      </c>
      <c r="Z30" s="1"/>
      <c r="AA30" s="1">
        <f>SUM(AA13:AA29)</f>
        <v>0</v>
      </c>
      <c r="AB30" s="1"/>
      <c r="AC30" s="1">
        <f>SUM(AC13:AC29)</f>
        <v>0</v>
      </c>
      <c r="AD30" s="18">
        <f t="shared" si="0"/>
        <v>6</v>
      </c>
    </row>
  </sheetData>
  <sheetProtection sheet="1" objects="1" scenarios="1" selectLockedCells="1"/>
  <mergeCells count="8">
    <mergeCell ref="V10:X10"/>
    <mergeCell ref="Z10:AB10"/>
    <mergeCell ref="B3:F3"/>
    <mergeCell ref="B10:D10"/>
    <mergeCell ref="F10:H10"/>
    <mergeCell ref="J10:L10"/>
    <mergeCell ref="N10:P10"/>
    <mergeCell ref="R10:T10"/>
  </mergeCells>
  <dataValidations count="2">
    <dataValidation type="list" allowBlank="1" showInputMessage="1" showErrorMessage="1" sqref="A13:A29">
      <formula1>equipe</formula1>
    </dataValidation>
    <dataValidation type="list" allowBlank="1" showInputMessage="1" showErrorMessage="1" sqref="B13:B29 H13:H29 L13:L29 P13:P29 T13:T29 X13:X29 D13:D29 F13:F29 J13:J29 N13:N29 R13:R29 V13:V29 Z13:Z29 AB13:AB29">
      <formula1>taches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outon 1">
              <controlPr defaultSize="0" print="0" autoFill="0" autoPict="0" macro="[0]!Recherche_tache">
                <anchor moveWithCells="1" sizeWithCells="1">
                  <from>
                    <xdr:col>11</xdr:col>
                    <xdr:colOff>9525</xdr:colOff>
                    <xdr:row>6</xdr:row>
                    <xdr:rowOff>171450</xdr:rowOff>
                  </from>
                  <to>
                    <xdr:col>11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AD30"/>
  <sheetViews>
    <sheetView topLeftCell="A6" workbookViewId="0">
      <selection activeCell="J15" sqref="J15"/>
    </sheetView>
  </sheetViews>
  <sheetFormatPr baseColWidth="10" defaultRowHeight="15" x14ac:dyDescent="0.25"/>
  <cols>
    <col min="2" max="2" width="11.7109375" customWidth="1"/>
    <col min="3" max="3" width="3.85546875" customWidth="1"/>
    <col min="4" max="4" width="11.7109375" customWidth="1"/>
    <col min="5" max="5" width="3.85546875" customWidth="1"/>
    <col min="6" max="6" width="11.7109375" customWidth="1"/>
    <col min="7" max="7" width="3.85546875" customWidth="1"/>
    <col min="8" max="8" width="11.7109375" customWidth="1"/>
    <col min="9" max="9" width="3.85546875" customWidth="1"/>
    <col min="10" max="10" width="11.7109375" customWidth="1"/>
    <col min="11" max="11" width="3.85546875" customWidth="1"/>
    <col min="12" max="12" width="11.7109375" customWidth="1"/>
    <col min="13" max="13" width="3.85546875" customWidth="1"/>
    <col min="14" max="14" width="11.7109375" customWidth="1"/>
    <col min="15" max="15" width="3.85546875" customWidth="1"/>
    <col min="16" max="16" width="11.7109375" customWidth="1"/>
    <col min="17" max="17" width="3.85546875" customWidth="1"/>
    <col min="18" max="18" width="11.7109375" customWidth="1"/>
    <col min="19" max="19" width="3.85546875" customWidth="1"/>
    <col min="20" max="20" width="11.7109375" customWidth="1"/>
    <col min="21" max="21" width="3.85546875" customWidth="1"/>
    <col min="22" max="22" width="11.7109375" customWidth="1"/>
    <col min="23" max="23" width="3.85546875" customWidth="1"/>
    <col min="24" max="24" width="11.7109375" customWidth="1"/>
    <col min="25" max="25" width="3.85546875" customWidth="1"/>
    <col min="26" max="26" width="11.7109375" customWidth="1"/>
    <col min="27" max="27" width="3.7109375" customWidth="1"/>
    <col min="28" max="28" width="11.7109375" customWidth="1"/>
    <col min="29" max="29" width="3.85546875" customWidth="1"/>
    <col min="30" max="30" width="7.7109375" customWidth="1"/>
  </cols>
  <sheetData>
    <row r="1" spans="1:30" ht="15.75" thickBot="1" x14ac:dyDescent="0.3">
      <c r="A1" s="1"/>
      <c r="B1" s="43" t="s">
        <v>5</v>
      </c>
      <c r="C1" s="44">
        <v>7</v>
      </c>
      <c r="D1" s="45" t="s">
        <v>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3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0" x14ac:dyDescent="0.25">
      <c r="A3" s="1"/>
      <c r="B3" s="83" t="s">
        <v>20</v>
      </c>
      <c r="C3" s="83"/>
      <c r="D3" s="83"/>
      <c r="E3" s="83"/>
      <c r="F3" s="83"/>
      <c r="G3" s="46">
        <f>E10+I10+M10+Q10+U10+Y10+AC10</f>
        <v>5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0" x14ac:dyDescent="0.25">
      <c r="A4" s="1"/>
      <c r="B4" s="47"/>
      <c r="C4" s="47"/>
      <c r="D4" s="47"/>
      <c r="E4" s="47"/>
      <c r="F4" s="48" t="str">
        <f>Resume!A5</f>
        <v>Adrien</v>
      </c>
      <c r="G4" s="48">
        <v>0</v>
      </c>
      <c r="H4" s="1"/>
      <c r="I4" s="1"/>
      <c r="J4" s="1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30" x14ac:dyDescent="0.25">
      <c r="A5" s="1"/>
      <c r="B5" s="47"/>
      <c r="C5" s="47"/>
      <c r="D5" s="47"/>
      <c r="E5" s="47"/>
      <c r="F5" s="48" t="str">
        <f>Resume!A6</f>
        <v>Abdoulaye</v>
      </c>
      <c r="G5" s="48">
        <v>3</v>
      </c>
      <c r="H5" s="1"/>
      <c r="I5" s="1"/>
      <c r="J5" s="1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30" x14ac:dyDescent="0.25">
      <c r="A6" s="1"/>
      <c r="B6" s="47"/>
      <c r="C6" s="47"/>
      <c r="D6" s="47"/>
      <c r="E6" s="47"/>
      <c r="F6" s="48" t="str">
        <f>Resume!A7</f>
        <v>Shawez</v>
      </c>
      <c r="G6" s="48">
        <v>0</v>
      </c>
      <c r="H6" s="1"/>
      <c r="I6" s="1"/>
      <c r="J6" s="1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30" x14ac:dyDescent="0.25">
      <c r="A7" s="1"/>
      <c r="B7" s="49"/>
      <c r="C7" s="49"/>
      <c r="D7" s="49"/>
      <c r="E7" s="49"/>
      <c r="F7" s="48" t="str">
        <f>Resume!A8</f>
        <v>Nadir</v>
      </c>
      <c r="G7" s="48">
        <v>2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30" x14ac:dyDescent="0.25">
      <c r="A8" s="1"/>
      <c r="B8" s="49"/>
      <c r="C8" s="49"/>
      <c r="D8" s="49"/>
      <c r="E8" s="49"/>
      <c r="F8" s="48" t="str">
        <f>Resume!A9</f>
        <v>L'équipe</v>
      </c>
      <c r="G8" s="48">
        <v>0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30" ht="15.75" thickBot="1" x14ac:dyDescent="0.3">
      <c r="A9" s="1"/>
      <c r="B9" s="1"/>
      <c r="C9" s="1"/>
      <c r="D9" s="1"/>
      <c r="E9" s="1"/>
      <c r="F9" s="1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30" ht="30" x14ac:dyDescent="0.25">
      <c r="A10" s="12" t="s">
        <v>24</v>
      </c>
      <c r="B10" s="84" t="s">
        <v>25</v>
      </c>
      <c r="C10" s="85"/>
      <c r="D10" s="86"/>
      <c r="E10" s="16">
        <f>C30+E30</f>
        <v>0</v>
      </c>
      <c r="F10" s="84" t="s">
        <v>26</v>
      </c>
      <c r="G10" s="85"/>
      <c r="H10" s="86"/>
      <c r="I10" s="16">
        <f>G30+I30</f>
        <v>0</v>
      </c>
      <c r="J10" s="80" t="s">
        <v>27</v>
      </c>
      <c r="K10" s="81"/>
      <c r="L10" s="82"/>
      <c r="M10" s="16">
        <f>K30+M30</f>
        <v>5</v>
      </c>
      <c r="N10" s="80" t="s">
        <v>28</v>
      </c>
      <c r="O10" s="81"/>
      <c r="P10" s="82"/>
      <c r="Q10" s="16">
        <f>O30+Q30</f>
        <v>0</v>
      </c>
      <c r="R10" s="80" t="s">
        <v>29</v>
      </c>
      <c r="S10" s="81"/>
      <c r="T10" s="82"/>
      <c r="U10" s="16">
        <f>S30+U30</f>
        <v>0</v>
      </c>
      <c r="V10" s="80" t="s">
        <v>30</v>
      </c>
      <c r="W10" s="81"/>
      <c r="X10" s="82"/>
      <c r="Y10" s="16">
        <f>W30+Y30</f>
        <v>0</v>
      </c>
      <c r="Z10" s="80" t="s">
        <v>31</v>
      </c>
      <c r="AA10" s="81"/>
      <c r="AB10" s="82"/>
      <c r="AC10" s="16">
        <f>AA30+AC30</f>
        <v>0</v>
      </c>
      <c r="AD10" s="19"/>
    </row>
    <row r="11" spans="1:30" x14ac:dyDescent="0.25">
      <c r="A11" s="13"/>
      <c r="B11" s="14">
        <f>Resume!D1+($C$1-1)*7</f>
        <v>43097</v>
      </c>
      <c r="C11" s="6"/>
      <c r="D11" s="7"/>
      <c r="E11" s="17"/>
      <c r="F11" s="14">
        <f>B11+1</f>
        <v>43098</v>
      </c>
      <c r="G11" s="6"/>
      <c r="H11" s="7"/>
      <c r="I11" s="15"/>
      <c r="J11" s="14">
        <f>F11+1</f>
        <v>43099</v>
      </c>
      <c r="K11" s="6"/>
      <c r="L11" s="7"/>
      <c r="M11" s="15"/>
      <c r="N11" s="14">
        <f>J11+1</f>
        <v>43100</v>
      </c>
      <c r="O11" s="6"/>
      <c r="P11" s="7"/>
      <c r="Q11" s="15"/>
      <c r="R11" s="14">
        <f>N11+1</f>
        <v>43101</v>
      </c>
      <c r="S11" s="6"/>
      <c r="T11" s="7"/>
      <c r="U11" s="15"/>
      <c r="V11" s="14">
        <f>R11+1</f>
        <v>43102</v>
      </c>
      <c r="W11" s="6"/>
      <c r="X11" s="7"/>
      <c r="Y11" s="15"/>
      <c r="Z11" s="14">
        <f>V11+1</f>
        <v>43103</v>
      </c>
      <c r="AA11" s="9"/>
      <c r="AB11" s="7"/>
      <c r="AC11" s="10"/>
      <c r="AD11" s="20" t="s">
        <v>22</v>
      </c>
    </row>
    <row r="12" spans="1:30" s="8" customFormat="1" ht="30" x14ac:dyDescent="0.25">
      <c r="A12" s="36" t="s">
        <v>4</v>
      </c>
      <c r="B12" s="37" t="s">
        <v>33</v>
      </c>
      <c r="C12" s="38" t="s">
        <v>16</v>
      </c>
      <c r="D12" s="38" t="s">
        <v>34</v>
      </c>
      <c r="E12" s="39" t="s">
        <v>16</v>
      </c>
      <c r="F12" s="37" t="s">
        <v>35</v>
      </c>
      <c r="G12" s="38" t="s">
        <v>16</v>
      </c>
      <c r="H12" s="38" t="s">
        <v>36</v>
      </c>
      <c r="I12" s="39" t="s">
        <v>16</v>
      </c>
      <c r="J12" s="37" t="s">
        <v>8</v>
      </c>
      <c r="K12" s="38" t="s">
        <v>16</v>
      </c>
      <c r="L12" s="38" t="s">
        <v>9</v>
      </c>
      <c r="M12" s="39" t="s">
        <v>16</v>
      </c>
      <c r="N12" s="37" t="s">
        <v>37</v>
      </c>
      <c r="O12" s="38" t="s">
        <v>16</v>
      </c>
      <c r="P12" s="38" t="s">
        <v>38</v>
      </c>
      <c r="Q12" s="39" t="s">
        <v>16</v>
      </c>
      <c r="R12" s="37" t="s">
        <v>10</v>
      </c>
      <c r="S12" s="38" t="s">
        <v>16</v>
      </c>
      <c r="T12" s="38" t="s">
        <v>11</v>
      </c>
      <c r="U12" s="39" t="s">
        <v>16</v>
      </c>
      <c r="V12" s="37" t="s">
        <v>12</v>
      </c>
      <c r="W12" s="38" t="s">
        <v>16</v>
      </c>
      <c r="X12" s="38" t="s">
        <v>13</v>
      </c>
      <c r="Y12" s="39" t="s">
        <v>16</v>
      </c>
      <c r="Z12" s="37" t="s">
        <v>14</v>
      </c>
      <c r="AA12" s="40" t="s">
        <v>16</v>
      </c>
      <c r="AB12" s="38" t="s">
        <v>15</v>
      </c>
      <c r="AC12" s="41" t="s">
        <v>16</v>
      </c>
      <c r="AD12" s="42" t="s">
        <v>16</v>
      </c>
    </row>
    <row r="13" spans="1:30" x14ac:dyDescent="0.25">
      <c r="A13" s="68" t="s">
        <v>42</v>
      </c>
      <c r="B13" s="77"/>
      <c r="C13" s="69"/>
      <c r="D13" s="69"/>
      <c r="E13" s="71"/>
      <c r="F13" s="77"/>
      <c r="G13" s="69"/>
      <c r="H13" s="69"/>
      <c r="I13" s="71"/>
      <c r="J13" s="77"/>
      <c r="K13" s="69"/>
      <c r="L13" s="69"/>
      <c r="M13" s="71"/>
      <c r="N13" s="77"/>
      <c r="O13" s="69"/>
      <c r="P13" s="69"/>
      <c r="Q13" s="71"/>
      <c r="R13" s="77"/>
      <c r="S13" s="69"/>
      <c r="T13" s="69"/>
      <c r="U13" s="71"/>
      <c r="V13" s="69"/>
      <c r="W13" s="69"/>
      <c r="X13" s="69"/>
      <c r="Y13" s="71"/>
      <c r="Z13" s="77"/>
      <c r="AA13" s="73"/>
      <c r="AB13" s="69"/>
      <c r="AC13" s="75"/>
      <c r="AD13" s="21">
        <f>C13+E13+G13+I13+K13+M13+O13+Q13+S13+U13+W13+Y13+AA13+AC13</f>
        <v>0</v>
      </c>
    </row>
    <row r="14" spans="1:30" ht="79.5" x14ac:dyDescent="0.25">
      <c r="A14" s="68" t="s">
        <v>48</v>
      </c>
      <c r="B14" s="77"/>
      <c r="C14" s="69"/>
      <c r="D14" s="69"/>
      <c r="E14" s="71"/>
      <c r="F14" s="77"/>
      <c r="G14" s="69"/>
      <c r="H14" s="69"/>
      <c r="I14" s="71"/>
      <c r="J14" s="77" t="s">
        <v>83</v>
      </c>
      <c r="K14" s="69">
        <v>3</v>
      </c>
      <c r="L14" s="69"/>
      <c r="M14" s="71"/>
      <c r="N14" s="77"/>
      <c r="O14" s="69"/>
      <c r="P14" s="69"/>
      <c r="Q14" s="71"/>
      <c r="R14" s="77"/>
      <c r="S14" s="69"/>
      <c r="T14" s="69"/>
      <c r="U14" s="71"/>
      <c r="V14" s="77"/>
      <c r="W14" s="69"/>
      <c r="X14" s="69"/>
      <c r="Y14" s="71"/>
      <c r="Z14" s="77"/>
      <c r="AA14" s="73"/>
      <c r="AB14" s="69"/>
      <c r="AC14" s="75"/>
      <c r="AD14" s="21">
        <f>C14+E14+G14+I14+K14+M14+O14+Q14+S14+U14+W14+Y14+AA14+AC14</f>
        <v>3</v>
      </c>
    </row>
    <row r="15" spans="1:30" ht="79.5" x14ac:dyDescent="0.25">
      <c r="A15" s="68" t="s">
        <v>56</v>
      </c>
      <c r="B15" s="77"/>
      <c r="C15" s="69"/>
      <c r="D15" s="69"/>
      <c r="E15" s="71"/>
      <c r="F15" s="77"/>
      <c r="G15" s="69"/>
      <c r="H15" s="69"/>
      <c r="I15" s="71"/>
      <c r="J15" s="77" t="s">
        <v>84</v>
      </c>
      <c r="K15" s="69">
        <v>2</v>
      </c>
      <c r="L15" s="69"/>
      <c r="M15" s="71"/>
      <c r="N15" s="77"/>
      <c r="O15" s="69"/>
      <c r="P15" s="69"/>
      <c r="Q15" s="71"/>
      <c r="R15" s="77"/>
      <c r="S15" s="69"/>
      <c r="T15" s="69"/>
      <c r="U15" s="71"/>
      <c r="V15" s="77"/>
      <c r="W15" s="69"/>
      <c r="X15" s="69"/>
      <c r="Y15" s="71"/>
      <c r="Z15" s="77"/>
      <c r="AA15" s="73"/>
      <c r="AB15" s="69"/>
      <c r="AC15" s="75"/>
      <c r="AD15" s="21">
        <f t="shared" ref="AD15:AD30" si="0">C15+E15+G15+I15+K15+M15+O15+Q15+S15+U15+W15+Y15+AA15+AC15</f>
        <v>2</v>
      </c>
    </row>
    <row r="16" spans="1:30" x14ac:dyDescent="0.25">
      <c r="A16" s="68"/>
      <c r="B16" s="77"/>
      <c r="C16" s="69"/>
      <c r="D16" s="69"/>
      <c r="E16" s="71"/>
      <c r="F16" s="77"/>
      <c r="G16" s="69"/>
      <c r="H16" s="69"/>
      <c r="I16" s="71"/>
      <c r="J16" s="77"/>
      <c r="K16" s="69"/>
      <c r="L16" s="69"/>
      <c r="M16" s="71"/>
      <c r="N16" s="77"/>
      <c r="O16" s="69"/>
      <c r="P16" s="69"/>
      <c r="Q16" s="71"/>
      <c r="R16" s="77"/>
      <c r="S16" s="69"/>
      <c r="T16" s="69"/>
      <c r="U16" s="71"/>
      <c r="V16" s="77"/>
      <c r="W16" s="69"/>
      <c r="X16" s="69"/>
      <c r="Y16" s="71"/>
      <c r="Z16" s="77"/>
      <c r="AA16" s="69"/>
      <c r="AB16" s="69"/>
      <c r="AC16" s="71"/>
      <c r="AD16" s="21">
        <f t="shared" si="0"/>
        <v>0</v>
      </c>
    </row>
    <row r="17" spans="1:30" x14ac:dyDescent="0.25">
      <c r="A17" s="68"/>
      <c r="B17" s="77"/>
      <c r="C17" s="69"/>
      <c r="D17" s="69"/>
      <c r="E17" s="71"/>
      <c r="F17" s="77"/>
      <c r="G17" s="69"/>
      <c r="H17" s="69"/>
      <c r="I17" s="71"/>
      <c r="J17" s="77"/>
      <c r="K17" s="69"/>
      <c r="L17" s="69"/>
      <c r="M17" s="71"/>
      <c r="N17" s="77"/>
      <c r="O17" s="69"/>
      <c r="P17" s="69"/>
      <c r="Q17" s="71"/>
      <c r="R17" s="77"/>
      <c r="S17" s="69"/>
      <c r="T17" s="69"/>
      <c r="U17" s="71"/>
      <c r="V17" s="77"/>
      <c r="W17" s="69"/>
      <c r="X17" s="69"/>
      <c r="Y17" s="71"/>
      <c r="Z17" s="77"/>
      <c r="AA17" s="73"/>
      <c r="AB17" s="69"/>
      <c r="AC17" s="75"/>
      <c r="AD17" s="21">
        <f t="shared" si="0"/>
        <v>0</v>
      </c>
    </row>
    <row r="18" spans="1:30" x14ac:dyDescent="0.25">
      <c r="A18" s="68"/>
      <c r="B18" s="77"/>
      <c r="C18" s="69"/>
      <c r="D18" s="69"/>
      <c r="E18" s="71"/>
      <c r="F18" s="77"/>
      <c r="G18" s="69"/>
      <c r="H18" s="69"/>
      <c r="I18" s="71"/>
      <c r="J18" s="77"/>
      <c r="K18" s="69"/>
      <c r="L18" s="69"/>
      <c r="M18" s="71"/>
      <c r="N18" s="77"/>
      <c r="O18" s="69"/>
      <c r="P18" s="69"/>
      <c r="Q18" s="71"/>
      <c r="R18" s="77"/>
      <c r="S18" s="69"/>
      <c r="T18" s="69"/>
      <c r="U18" s="71"/>
      <c r="V18" s="77"/>
      <c r="W18" s="69"/>
      <c r="X18" s="69"/>
      <c r="Y18" s="71"/>
      <c r="Z18" s="77"/>
      <c r="AA18" s="73"/>
      <c r="AB18" s="69"/>
      <c r="AC18" s="75"/>
      <c r="AD18" s="21">
        <f t="shared" si="0"/>
        <v>0</v>
      </c>
    </row>
    <row r="19" spans="1:30" x14ac:dyDescent="0.25">
      <c r="A19" s="68"/>
      <c r="B19" s="77"/>
      <c r="C19" s="69"/>
      <c r="D19" s="69"/>
      <c r="E19" s="71"/>
      <c r="F19" s="77"/>
      <c r="G19" s="69"/>
      <c r="H19" s="69"/>
      <c r="I19" s="71"/>
      <c r="J19" s="77"/>
      <c r="K19" s="69"/>
      <c r="L19" s="69"/>
      <c r="M19" s="71"/>
      <c r="N19" s="77"/>
      <c r="O19" s="69"/>
      <c r="P19" s="69"/>
      <c r="Q19" s="71"/>
      <c r="R19" s="77"/>
      <c r="S19" s="69"/>
      <c r="T19" s="69"/>
      <c r="U19" s="71"/>
      <c r="V19" s="77"/>
      <c r="W19" s="69"/>
      <c r="X19" s="69"/>
      <c r="Y19" s="71"/>
      <c r="Z19" s="77"/>
      <c r="AA19" s="73"/>
      <c r="AB19" s="69"/>
      <c r="AC19" s="75"/>
      <c r="AD19" s="21">
        <f t="shared" si="0"/>
        <v>0</v>
      </c>
    </row>
    <row r="20" spans="1:30" x14ac:dyDescent="0.25">
      <c r="A20" s="68"/>
      <c r="B20" s="77"/>
      <c r="C20" s="69"/>
      <c r="D20" s="69"/>
      <c r="E20" s="71"/>
      <c r="F20" s="77"/>
      <c r="G20" s="69"/>
      <c r="H20" s="69"/>
      <c r="I20" s="71"/>
      <c r="J20" s="77"/>
      <c r="K20" s="69"/>
      <c r="L20" s="69"/>
      <c r="M20" s="71"/>
      <c r="N20" s="77"/>
      <c r="O20" s="69"/>
      <c r="P20" s="69"/>
      <c r="Q20" s="71"/>
      <c r="R20" s="77"/>
      <c r="S20" s="69"/>
      <c r="T20" s="69"/>
      <c r="U20" s="71"/>
      <c r="V20" s="77"/>
      <c r="W20" s="69"/>
      <c r="X20" s="69"/>
      <c r="Y20" s="71"/>
      <c r="Z20" s="77"/>
      <c r="AA20" s="73"/>
      <c r="AB20" s="69"/>
      <c r="AC20" s="75"/>
      <c r="AD20" s="21">
        <f t="shared" si="0"/>
        <v>0</v>
      </c>
    </row>
    <row r="21" spans="1:30" x14ac:dyDescent="0.25">
      <c r="A21" s="68"/>
      <c r="B21" s="77"/>
      <c r="C21" s="69"/>
      <c r="D21" s="69"/>
      <c r="E21" s="71"/>
      <c r="F21" s="77"/>
      <c r="G21" s="69"/>
      <c r="H21" s="69"/>
      <c r="I21" s="71"/>
      <c r="J21" s="77"/>
      <c r="K21" s="69"/>
      <c r="L21" s="69"/>
      <c r="M21" s="71"/>
      <c r="N21" s="77"/>
      <c r="O21" s="69"/>
      <c r="P21" s="69"/>
      <c r="Q21" s="71"/>
      <c r="R21" s="77"/>
      <c r="S21" s="69"/>
      <c r="T21" s="69"/>
      <c r="U21" s="71"/>
      <c r="V21" s="77"/>
      <c r="W21" s="69"/>
      <c r="X21" s="69"/>
      <c r="Y21" s="71"/>
      <c r="Z21" s="77"/>
      <c r="AA21" s="73"/>
      <c r="AB21" s="69"/>
      <c r="AC21" s="75"/>
      <c r="AD21" s="21">
        <f t="shared" si="0"/>
        <v>0</v>
      </c>
    </row>
    <row r="22" spans="1:30" x14ac:dyDescent="0.25">
      <c r="A22" s="68"/>
      <c r="B22" s="77"/>
      <c r="C22" s="69"/>
      <c r="D22" s="69"/>
      <c r="E22" s="71"/>
      <c r="F22" s="77"/>
      <c r="G22" s="69"/>
      <c r="H22" s="69"/>
      <c r="I22" s="71"/>
      <c r="J22" s="77"/>
      <c r="K22" s="69"/>
      <c r="L22" s="69"/>
      <c r="M22" s="71"/>
      <c r="N22" s="77"/>
      <c r="O22" s="69"/>
      <c r="P22" s="69"/>
      <c r="Q22" s="71"/>
      <c r="R22" s="77"/>
      <c r="S22" s="69"/>
      <c r="T22" s="69"/>
      <c r="U22" s="71"/>
      <c r="V22" s="77"/>
      <c r="W22" s="69"/>
      <c r="X22" s="69"/>
      <c r="Y22" s="71"/>
      <c r="Z22" s="77"/>
      <c r="AA22" s="73"/>
      <c r="AB22" s="69"/>
      <c r="AC22" s="75"/>
      <c r="AD22" s="21">
        <f t="shared" si="0"/>
        <v>0</v>
      </c>
    </row>
    <row r="23" spans="1:30" x14ac:dyDescent="0.25">
      <c r="A23" s="68"/>
      <c r="B23" s="77"/>
      <c r="C23" s="69"/>
      <c r="D23" s="69"/>
      <c r="E23" s="71"/>
      <c r="F23" s="77"/>
      <c r="G23" s="69"/>
      <c r="H23" s="69"/>
      <c r="I23" s="71"/>
      <c r="J23" s="77"/>
      <c r="K23" s="69"/>
      <c r="L23" s="69"/>
      <c r="M23" s="71"/>
      <c r="N23" s="77"/>
      <c r="O23" s="69"/>
      <c r="P23" s="69"/>
      <c r="Q23" s="71"/>
      <c r="R23" s="77"/>
      <c r="S23" s="69"/>
      <c r="T23" s="69"/>
      <c r="U23" s="71"/>
      <c r="V23" s="77"/>
      <c r="W23" s="69"/>
      <c r="X23" s="69"/>
      <c r="Y23" s="71"/>
      <c r="Z23" s="77"/>
      <c r="AA23" s="73"/>
      <c r="AB23" s="69"/>
      <c r="AC23" s="75"/>
      <c r="AD23" s="21">
        <f t="shared" si="0"/>
        <v>0</v>
      </c>
    </row>
    <row r="24" spans="1:30" x14ac:dyDescent="0.25">
      <c r="A24" s="68"/>
      <c r="B24" s="77"/>
      <c r="C24" s="69"/>
      <c r="D24" s="69"/>
      <c r="E24" s="71"/>
      <c r="F24" s="77"/>
      <c r="G24" s="69"/>
      <c r="H24" s="69"/>
      <c r="I24" s="71"/>
      <c r="J24" s="77"/>
      <c r="K24" s="69"/>
      <c r="L24" s="69"/>
      <c r="M24" s="71"/>
      <c r="N24" s="77"/>
      <c r="O24" s="69"/>
      <c r="P24" s="69"/>
      <c r="Q24" s="71"/>
      <c r="R24" s="77"/>
      <c r="S24" s="69"/>
      <c r="T24" s="69"/>
      <c r="U24" s="71"/>
      <c r="V24" s="77"/>
      <c r="W24" s="69"/>
      <c r="X24" s="69"/>
      <c r="Y24" s="71"/>
      <c r="Z24" s="77"/>
      <c r="AA24" s="73"/>
      <c r="AB24" s="69"/>
      <c r="AC24" s="75"/>
      <c r="AD24" s="21">
        <f t="shared" si="0"/>
        <v>0</v>
      </c>
    </row>
    <row r="25" spans="1:30" x14ac:dyDescent="0.25">
      <c r="A25" s="68"/>
      <c r="B25" s="77"/>
      <c r="C25" s="69"/>
      <c r="D25" s="69"/>
      <c r="E25" s="71"/>
      <c r="F25" s="77"/>
      <c r="G25" s="69"/>
      <c r="H25" s="69"/>
      <c r="I25" s="71"/>
      <c r="J25" s="77"/>
      <c r="K25" s="69"/>
      <c r="L25" s="69"/>
      <c r="M25" s="71"/>
      <c r="N25" s="77"/>
      <c r="O25" s="69"/>
      <c r="P25" s="69"/>
      <c r="Q25" s="71"/>
      <c r="R25" s="77"/>
      <c r="S25" s="69"/>
      <c r="T25" s="69"/>
      <c r="U25" s="71"/>
      <c r="V25" s="77"/>
      <c r="W25" s="69"/>
      <c r="X25" s="69"/>
      <c r="Y25" s="71"/>
      <c r="Z25" s="77"/>
      <c r="AA25" s="73"/>
      <c r="AB25" s="69"/>
      <c r="AC25" s="75"/>
      <c r="AD25" s="21">
        <f t="shared" si="0"/>
        <v>0</v>
      </c>
    </row>
    <row r="26" spans="1:30" x14ac:dyDescent="0.25">
      <c r="A26" s="68"/>
      <c r="B26" s="77"/>
      <c r="C26" s="69"/>
      <c r="D26" s="69"/>
      <c r="E26" s="71"/>
      <c r="F26" s="77"/>
      <c r="G26" s="69"/>
      <c r="H26" s="69"/>
      <c r="I26" s="71"/>
      <c r="J26" s="77"/>
      <c r="K26" s="69"/>
      <c r="L26" s="69"/>
      <c r="M26" s="71"/>
      <c r="N26" s="77"/>
      <c r="O26" s="69"/>
      <c r="P26" s="69"/>
      <c r="Q26" s="71"/>
      <c r="R26" s="77"/>
      <c r="S26" s="69"/>
      <c r="T26" s="69"/>
      <c r="U26" s="71"/>
      <c r="V26" s="77"/>
      <c r="W26" s="69"/>
      <c r="X26" s="69"/>
      <c r="Y26" s="71"/>
      <c r="Z26" s="77"/>
      <c r="AA26" s="73"/>
      <c r="AB26" s="69"/>
      <c r="AC26" s="75"/>
      <c r="AD26" s="21">
        <f t="shared" si="0"/>
        <v>0</v>
      </c>
    </row>
    <row r="27" spans="1:30" x14ac:dyDescent="0.25">
      <c r="A27" s="68"/>
      <c r="B27" s="77"/>
      <c r="C27" s="69"/>
      <c r="D27" s="69"/>
      <c r="E27" s="71"/>
      <c r="F27" s="77"/>
      <c r="G27" s="69"/>
      <c r="H27" s="69"/>
      <c r="I27" s="71"/>
      <c r="J27" s="77"/>
      <c r="K27" s="69"/>
      <c r="L27" s="69"/>
      <c r="M27" s="71"/>
      <c r="N27" s="77"/>
      <c r="O27" s="69"/>
      <c r="P27" s="69"/>
      <c r="Q27" s="71"/>
      <c r="R27" s="77"/>
      <c r="S27" s="69"/>
      <c r="T27" s="69"/>
      <c r="U27" s="71"/>
      <c r="V27" s="77"/>
      <c r="W27" s="69"/>
      <c r="X27" s="69"/>
      <c r="Y27" s="71"/>
      <c r="Z27" s="77"/>
      <c r="AA27" s="73"/>
      <c r="AB27" s="69"/>
      <c r="AC27" s="75"/>
      <c r="AD27" s="21">
        <f t="shared" si="0"/>
        <v>0</v>
      </c>
    </row>
    <row r="28" spans="1:30" x14ac:dyDescent="0.25">
      <c r="A28" s="68"/>
      <c r="B28" s="77"/>
      <c r="C28" s="69"/>
      <c r="D28" s="69"/>
      <c r="E28" s="71"/>
      <c r="F28" s="77"/>
      <c r="G28" s="69"/>
      <c r="H28" s="69"/>
      <c r="I28" s="71"/>
      <c r="J28" s="77"/>
      <c r="K28" s="69"/>
      <c r="L28" s="69"/>
      <c r="M28" s="71"/>
      <c r="N28" s="77"/>
      <c r="O28" s="69"/>
      <c r="P28" s="69"/>
      <c r="Q28" s="71"/>
      <c r="R28" s="77"/>
      <c r="S28" s="69"/>
      <c r="T28" s="69"/>
      <c r="U28" s="71"/>
      <c r="V28" s="77"/>
      <c r="W28" s="69"/>
      <c r="X28" s="69"/>
      <c r="Y28" s="71"/>
      <c r="Z28" s="77"/>
      <c r="AA28" s="73"/>
      <c r="AB28" s="69"/>
      <c r="AC28" s="75"/>
      <c r="AD28" s="21">
        <f t="shared" si="0"/>
        <v>0</v>
      </c>
    </row>
    <row r="29" spans="1:30" ht="15.75" thickBot="1" x14ac:dyDescent="0.3">
      <c r="A29" s="68"/>
      <c r="B29" s="78"/>
      <c r="C29" s="70"/>
      <c r="D29" s="70"/>
      <c r="E29" s="72"/>
      <c r="F29" s="78"/>
      <c r="G29" s="70"/>
      <c r="H29" s="70"/>
      <c r="I29" s="72"/>
      <c r="J29" s="78"/>
      <c r="K29" s="70"/>
      <c r="L29" s="70"/>
      <c r="M29" s="72"/>
      <c r="N29" s="78"/>
      <c r="O29" s="70"/>
      <c r="P29" s="70"/>
      <c r="Q29" s="72"/>
      <c r="R29" s="78"/>
      <c r="S29" s="70"/>
      <c r="T29" s="70"/>
      <c r="U29" s="72"/>
      <c r="V29" s="78"/>
      <c r="W29" s="70"/>
      <c r="X29" s="70"/>
      <c r="Y29" s="72"/>
      <c r="Z29" s="78"/>
      <c r="AA29" s="74"/>
      <c r="AB29" s="70"/>
      <c r="AC29" s="76"/>
      <c r="AD29" s="22">
        <f t="shared" si="0"/>
        <v>0</v>
      </c>
    </row>
    <row r="30" spans="1:30" x14ac:dyDescent="0.25">
      <c r="A30" s="1"/>
      <c r="B30" s="1"/>
      <c r="C30" s="1">
        <f>SUM(C13:C29)</f>
        <v>0</v>
      </c>
      <c r="D30" s="1"/>
      <c r="E30" s="1">
        <f>SUM(E13:E29)</f>
        <v>0</v>
      </c>
      <c r="F30" s="1"/>
      <c r="G30" s="1">
        <f>SUM(G13:G29)</f>
        <v>0</v>
      </c>
      <c r="H30" s="1"/>
      <c r="I30" s="1">
        <f>SUM(I13:I29)</f>
        <v>0</v>
      </c>
      <c r="J30" s="1"/>
      <c r="K30" s="1">
        <f>SUM(K13:K29)</f>
        <v>5</v>
      </c>
      <c r="L30" s="1"/>
      <c r="M30" s="1">
        <f>SUM(M13:M29)</f>
        <v>0</v>
      </c>
      <c r="N30" s="1"/>
      <c r="O30" s="1">
        <f>SUM(O13:O29)</f>
        <v>0</v>
      </c>
      <c r="P30" s="1"/>
      <c r="Q30" s="1">
        <f>SUM(Q13:Q29)</f>
        <v>0</v>
      </c>
      <c r="R30" s="1"/>
      <c r="S30" s="1">
        <f>SUM(S13:S29)</f>
        <v>0</v>
      </c>
      <c r="T30" s="1"/>
      <c r="U30" s="1">
        <f>SUM(U13:U29)</f>
        <v>0</v>
      </c>
      <c r="V30" s="1"/>
      <c r="W30" s="1">
        <f>SUM(W13:W29)</f>
        <v>0</v>
      </c>
      <c r="X30" s="1"/>
      <c r="Y30" s="1">
        <f>SUM(Y13:Y29)</f>
        <v>0</v>
      </c>
      <c r="Z30" s="1"/>
      <c r="AA30" s="1">
        <f>SUM(AA13:AA29)</f>
        <v>0</v>
      </c>
      <c r="AB30" s="1"/>
      <c r="AC30" s="1">
        <f>SUM(AC13:AC29)</f>
        <v>0</v>
      </c>
      <c r="AD30" s="18">
        <f t="shared" si="0"/>
        <v>5</v>
      </c>
    </row>
  </sheetData>
  <sheetProtection sheet="1" objects="1" scenarios="1" selectLockedCells="1"/>
  <mergeCells count="8">
    <mergeCell ref="V10:X10"/>
    <mergeCell ref="Z10:AB10"/>
    <mergeCell ref="B3:F3"/>
    <mergeCell ref="B10:D10"/>
    <mergeCell ref="F10:H10"/>
    <mergeCell ref="J10:L10"/>
    <mergeCell ref="N10:P10"/>
    <mergeCell ref="R10:T10"/>
  </mergeCells>
  <dataValidations count="2">
    <dataValidation type="list" allowBlank="1" showInputMessage="1" showErrorMessage="1" sqref="A13:A29">
      <formula1>equipe</formula1>
    </dataValidation>
    <dataValidation type="list" allowBlank="1" showInputMessage="1" showErrorMessage="1" sqref="B13:B29 H13:H29 L13:L29 P13:P29 T13:T29 X13:X29 D13:D29 F13:F29 J13:J29 N13:N29 R13:R29 V13:V29 Z13:Z29 AB13:AB29">
      <formula1>taches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outon 1">
              <controlPr defaultSize="0" print="0" autoFill="0" autoPict="0" macro="[0]!Recherche_tache">
                <anchor moveWithCells="1" sizeWithCells="1">
                  <from>
                    <xdr:col>11</xdr:col>
                    <xdr:colOff>9525</xdr:colOff>
                    <xdr:row>6</xdr:row>
                    <xdr:rowOff>171450</xdr:rowOff>
                  </from>
                  <to>
                    <xdr:col>11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AD30"/>
  <sheetViews>
    <sheetView workbookViewId="0">
      <selection activeCell="K16" sqref="K16"/>
    </sheetView>
  </sheetViews>
  <sheetFormatPr baseColWidth="10" defaultRowHeight="15" x14ac:dyDescent="0.25"/>
  <cols>
    <col min="2" max="2" width="11.7109375" customWidth="1"/>
    <col min="3" max="3" width="3.85546875" customWidth="1"/>
    <col min="4" max="4" width="11.7109375" customWidth="1"/>
    <col min="5" max="5" width="3.85546875" customWidth="1"/>
    <col min="6" max="6" width="11.7109375" customWidth="1"/>
    <col min="7" max="7" width="3.85546875" customWidth="1"/>
    <col min="8" max="8" width="11.7109375" customWidth="1"/>
    <col min="9" max="9" width="3.85546875" customWidth="1"/>
    <col min="10" max="10" width="11.7109375" customWidth="1"/>
    <col min="11" max="11" width="3.85546875" customWidth="1"/>
    <col min="12" max="12" width="11.7109375" customWidth="1"/>
    <col min="13" max="13" width="3.85546875" customWidth="1"/>
    <col min="14" max="14" width="11.7109375" customWidth="1"/>
    <col min="15" max="15" width="3.85546875" customWidth="1"/>
    <col min="16" max="16" width="11.7109375" customWidth="1"/>
    <col min="17" max="17" width="3.85546875" customWidth="1"/>
    <col min="18" max="18" width="11.7109375" customWidth="1"/>
    <col min="19" max="19" width="3.85546875" customWidth="1"/>
    <col min="20" max="20" width="11.7109375" customWidth="1"/>
    <col min="21" max="21" width="3.85546875" customWidth="1"/>
    <col min="22" max="22" width="11.7109375" customWidth="1"/>
    <col min="23" max="23" width="3.85546875" customWidth="1"/>
    <col min="24" max="24" width="11.7109375" customWidth="1"/>
    <col min="25" max="25" width="3.85546875" customWidth="1"/>
    <col min="26" max="26" width="11.7109375" customWidth="1"/>
    <col min="27" max="27" width="4" customWidth="1"/>
    <col min="28" max="28" width="10.85546875" customWidth="1"/>
    <col min="29" max="29" width="4.42578125" customWidth="1"/>
    <col min="30" max="30" width="6.42578125" customWidth="1"/>
  </cols>
  <sheetData>
    <row r="1" spans="1:30" ht="15.75" thickBot="1" x14ac:dyDescent="0.3">
      <c r="A1" s="1"/>
      <c r="B1" s="43" t="s">
        <v>5</v>
      </c>
      <c r="C1" s="44">
        <v>8</v>
      </c>
      <c r="D1" s="45" t="s">
        <v>7</v>
      </c>
      <c r="E1" s="1"/>
      <c r="F1" s="1"/>
      <c r="G1" s="1">
        <v>0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30" x14ac:dyDescent="0.25">
      <c r="A2" s="1"/>
      <c r="B2" s="1"/>
      <c r="C2" s="1"/>
      <c r="D2" s="1"/>
      <c r="E2" s="1"/>
      <c r="F2" s="1"/>
      <c r="G2" s="1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0" x14ac:dyDescent="0.25">
      <c r="A3" s="1"/>
      <c r="B3" s="83" t="s">
        <v>20</v>
      </c>
      <c r="C3" s="83"/>
      <c r="D3" s="83"/>
      <c r="E3" s="83"/>
      <c r="F3" s="83"/>
      <c r="G3" s="46">
        <v>0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0" x14ac:dyDescent="0.25">
      <c r="A4" s="1"/>
      <c r="B4" s="47"/>
      <c r="C4" s="47"/>
      <c r="D4" s="47"/>
      <c r="E4" s="47"/>
      <c r="F4" s="48" t="str">
        <f>Resume!A5</f>
        <v>Adrien</v>
      </c>
      <c r="G4" s="48">
        <v>0</v>
      </c>
      <c r="H4" s="1"/>
      <c r="I4" s="1"/>
      <c r="J4" s="1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30" x14ac:dyDescent="0.25">
      <c r="A5" s="1"/>
      <c r="B5" s="47"/>
      <c r="C5" s="47"/>
      <c r="D5" s="47"/>
      <c r="E5" s="47"/>
      <c r="F5" s="48" t="str">
        <f>Resume!A6</f>
        <v>Abdoulaye</v>
      </c>
      <c r="G5" s="48">
        <v>3</v>
      </c>
      <c r="H5" s="1"/>
      <c r="I5" s="1"/>
      <c r="J5" s="1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30" x14ac:dyDescent="0.25">
      <c r="A6" s="1"/>
      <c r="B6" s="47"/>
      <c r="C6" s="47"/>
      <c r="D6" s="47"/>
      <c r="E6" s="47"/>
      <c r="F6" s="48" t="str">
        <f>Resume!A7</f>
        <v>Shawez</v>
      </c>
      <c r="G6" s="48">
        <v>2</v>
      </c>
      <c r="H6" s="1"/>
      <c r="I6" s="1"/>
      <c r="J6" s="1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30" x14ac:dyDescent="0.25">
      <c r="A7" s="1"/>
      <c r="B7" s="49"/>
      <c r="C7" s="49"/>
      <c r="D7" s="49"/>
      <c r="E7" s="49"/>
      <c r="F7" s="48" t="str">
        <f>Resume!A8</f>
        <v>Nadir</v>
      </c>
      <c r="G7" s="48">
        <v>2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30" x14ac:dyDescent="0.25">
      <c r="A8" s="1"/>
      <c r="B8" s="49"/>
      <c r="C8" s="49"/>
      <c r="D8" s="49"/>
      <c r="E8" s="49"/>
      <c r="F8" s="48" t="str">
        <f>Resume!A9</f>
        <v>L'équipe</v>
      </c>
      <c r="G8" s="48">
        <v>0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30" ht="15.75" thickBot="1" x14ac:dyDescent="0.3">
      <c r="A9" s="1"/>
      <c r="B9" s="1"/>
      <c r="C9" s="1"/>
      <c r="D9" s="1"/>
      <c r="E9" s="1"/>
      <c r="F9" s="1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30" ht="30" x14ac:dyDescent="0.25">
      <c r="A10" s="12" t="s">
        <v>24</v>
      </c>
      <c r="B10" s="84" t="s">
        <v>25</v>
      </c>
      <c r="C10" s="85"/>
      <c r="D10" s="86"/>
      <c r="E10" s="16">
        <f>C30+E30</f>
        <v>0</v>
      </c>
      <c r="F10" s="84" t="s">
        <v>26</v>
      </c>
      <c r="G10" s="85"/>
      <c r="H10" s="86"/>
      <c r="I10" s="16">
        <f>G30+I30</f>
        <v>0</v>
      </c>
      <c r="J10" s="80" t="s">
        <v>27</v>
      </c>
      <c r="K10" s="81"/>
      <c r="L10" s="82"/>
      <c r="M10" s="16">
        <f>K30+M30</f>
        <v>7</v>
      </c>
      <c r="N10" s="80" t="s">
        <v>28</v>
      </c>
      <c r="O10" s="81"/>
      <c r="P10" s="82"/>
      <c r="Q10" s="16">
        <f>O30+Q30</f>
        <v>0</v>
      </c>
      <c r="R10" s="80" t="s">
        <v>29</v>
      </c>
      <c r="S10" s="81"/>
      <c r="T10" s="82"/>
      <c r="U10" s="16">
        <f>S30+U30</f>
        <v>0</v>
      </c>
      <c r="V10" s="80" t="s">
        <v>30</v>
      </c>
      <c r="W10" s="81"/>
      <c r="X10" s="82"/>
      <c r="Y10" s="16">
        <f>W30+Y30</f>
        <v>0</v>
      </c>
      <c r="Z10" s="80" t="s">
        <v>31</v>
      </c>
      <c r="AA10" s="81"/>
      <c r="AB10" s="82"/>
      <c r="AC10" s="16">
        <f>AA30+AC30</f>
        <v>0</v>
      </c>
      <c r="AD10" s="19"/>
    </row>
    <row r="11" spans="1:30" x14ac:dyDescent="0.25">
      <c r="A11" s="13"/>
      <c r="B11" s="14">
        <f>Resume!D1+($C$1-1)*7</f>
        <v>43104</v>
      </c>
      <c r="C11" s="6"/>
      <c r="D11" s="7"/>
      <c r="E11" s="17"/>
      <c r="F11" s="14">
        <f>B11+1</f>
        <v>43105</v>
      </c>
      <c r="G11" s="6"/>
      <c r="H11" s="7"/>
      <c r="I11" s="15"/>
      <c r="J11" s="14">
        <f>F11+1</f>
        <v>43106</v>
      </c>
      <c r="K11" s="6"/>
      <c r="L11" s="7"/>
      <c r="M11" s="15"/>
      <c r="N11" s="14">
        <f>J11+1</f>
        <v>43107</v>
      </c>
      <c r="O11" s="6"/>
      <c r="P11" s="7"/>
      <c r="Q11" s="15"/>
      <c r="R11" s="14">
        <f>N11+1</f>
        <v>43108</v>
      </c>
      <c r="S11" s="6"/>
      <c r="T11" s="7"/>
      <c r="U11" s="15"/>
      <c r="V11" s="14">
        <f>R11+1</f>
        <v>43109</v>
      </c>
      <c r="W11" s="6"/>
      <c r="X11" s="7"/>
      <c r="Y11" s="15"/>
      <c r="Z11" s="14">
        <f>V11+1</f>
        <v>43110</v>
      </c>
      <c r="AA11" s="9"/>
      <c r="AB11" s="7"/>
      <c r="AC11" s="10"/>
      <c r="AD11" s="20" t="s">
        <v>22</v>
      </c>
    </row>
    <row r="12" spans="1:30" s="8" customFormat="1" ht="30" x14ac:dyDescent="0.25">
      <c r="A12" s="36" t="s">
        <v>4</v>
      </c>
      <c r="B12" s="37" t="s">
        <v>33</v>
      </c>
      <c r="C12" s="38" t="s">
        <v>16</v>
      </c>
      <c r="D12" s="38" t="s">
        <v>34</v>
      </c>
      <c r="E12" s="39" t="s">
        <v>16</v>
      </c>
      <c r="F12" s="37" t="s">
        <v>35</v>
      </c>
      <c r="G12" s="38" t="s">
        <v>16</v>
      </c>
      <c r="H12" s="38" t="s">
        <v>36</v>
      </c>
      <c r="I12" s="39" t="s">
        <v>16</v>
      </c>
      <c r="J12" s="37" t="s">
        <v>8</v>
      </c>
      <c r="K12" s="38" t="s">
        <v>16</v>
      </c>
      <c r="L12" s="38" t="s">
        <v>9</v>
      </c>
      <c r="M12" s="39" t="s">
        <v>16</v>
      </c>
      <c r="N12" s="37" t="s">
        <v>37</v>
      </c>
      <c r="O12" s="38" t="s">
        <v>16</v>
      </c>
      <c r="P12" s="38" t="s">
        <v>38</v>
      </c>
      <c r="Q12" s="39" t="s">
        <v>16</v>
      </c>
      <c r="R12" s="37" t="s">
        <v>10</v>
      </c>
      <c r="S12" s="38" t="s">
        <v>16</v>
      </c>
      <c r="T12" s="38" t="s">
        <v>11</v>
      </c>
      <c r="U12" s="39" t="s">
        <v>16</v>
      </c>
      <c r="V12" s="37" t="s">
        <v>12</v>
      </c>
      <c r="W12" s="38" t="s">
        <v>16</v>
      </c>
      <c r="X12" s="38" t="s">
        <v>13</v>
      </c>
      <c r="Y12" s="39" t="s">
        <v>16</v>
      </c>
      <c r="Z12" s="37" t="s">
        <v>14</v>
      </c>
      <c r="AA12" s="40" t="s">
        <v>16</v>
      </c>
      <c r="AB12" s="38" t="s">
        <v>15</v>
      </c>
      <c r="AC12" s="41" t="s">
        <v>16</v>
      </c>
      <c r="AD12" s="42" t="s">
        <v>16</v>
      </c>
    </row>
    <row r="13" spans="1:30" x14ac:dyDescent="0.25">
      <c r="A13" s="68" t="s">
        <v>42</v>
      </c>
      <c r="B13" s="77"/>
      <c r="C13" s="69"/>
      <c r="D13" s="69"/>
      <c r="E13" s="71"/>
      <c r="F13" s="77"/>
      <c r="G13" s="69"/>
      <c r="H13" s="69"/>
      <c r="I13" s="71"/>
      <c r="J13" s="77"/>
      <c r="K13" s="69"/>
      <c r="L13" s="69"/>
      <c r="M13" s="71"/>
      <c r="N13" s="77"/>
      <c r="O13" s="69"/>
      <c r="P13" s="69"/>
      <c r="Q13" s="71"/>
      <c r="R13" s="77"/>
      <c r="S13" s="69"/>
      <c r="T13" s="69"/>
      <c r="U13" s="71"/>
      <c r="V13" s="77"/>
      <c r="W13" s="69"/>
      <c r="X13" s="69"/>
      <c r="Y13" s="71"/>
      <c r="Z13" s="77"/>
      <c r="AA13" s="73"/>
      <c r="AB13" s="69"/>
      <c r="AC13" s="75"/>
      <c r="AD13" s="21">
        <f>C13+E13+G13+I13+K13+M13+O13+Q13+S13+U13+W13+Y13+AA13+AC13</f>
        <v>0</v>
      </c>
    </row>
    <row r="14" spans="1:30" ht="79.5" x14ac:dyDescent="0.25">
      <c r="A14" s="68" t="s">
        <v>48</v>
      </c>
      <c r="B14" s="77"/>
      <c r="C14" s="69"/>
      <c r="D14" s="69"/>
      <c r="E14" s="71"/>
      <c r="F14" s="77"/>
      <c r="G14" s="69"/>
      <c r="H14" s="69"/>
      <c r="I14" s="71"/>
      <c r="J14" s="77" t="s">
        <v>83</v>
      </c>
      <c r="K14" s="69">
        <v>3</v>
      </c>
      <c r="L14" s="69"/>
      <c r="M14" s="71"/>
      <c r="N14" s="77"/>
      <c r="O14" s="69"/>
      <c r="P14" s="69"/>
      <c r="Q14" s="71"/>
      <c r="R14" s="77"/>
      <c r="S14" s="69"/>
      <c r="T14" s="69"/>
      <c r="U14" s="71"/>
      <c r="V14" s="77"/>
      <c r="W14" s="69"/>
      <c r="X14" s="69"/>
      <c r="Y14" s="71"/>
      <c r="Z14" s="77"/>
      <c r="AA14" s="73"/>
      <c r="AB14" s="69"/>
      <c r="AC14" s="75"/>
      <c r="AD14" s="21">
        <f>C14+E14+G14+I14+K14+M14+O14+Q14+S14+U14+W14+Y14+AA14+AC14</f>
        <v>3</v>
      </c>
    </row>
    <row r="15" spans="1:30" ht="79.5" x14ac:dyDescent="0.25">
      <c r="A15" s="68" t="s">
        <v>56</v>
      </c>
      <c r="B15" s="77"/>
      <c r="C15" s="69"/>
      <c r="D15" s="69"/>
      <c r="E15" s="71"/>
      <c r="F15" s="77"/>
      <c r="G15" s="69"/>
      <c r="H15" s="69"/>
      <c r="I15" s="71"/>
      <c r="J15" s="77" t="s">
        <v>84</v>
      </c>
      <c r="K15" s="69">
        <v>2</v>
      </c>
      <c r="L15" s="69"/>
      <c r="M15" s="71"/>
      <c r="N15" s="77"/>
      <c r="O15" s="69"/>
      <c r="P15" s="69"/>
      <c r="Q15" s="71"/>
      <c r="R15" s="77"/>
      <c r="S15" s="69"/>
      <c r="T15" s="69"/>
      <c r="U15" s="71"/>
      <c r="V15" s="77"/>
      <c r="W15" s="69"/>
      <c r="X15" s="69"/>
      <c r="Y15" s="71"/>
      <c r="Z15" s="77"/>
      <c r="AA15" s="73"/>
      <c r="AB15" s="69"/>
      <c r="AC15" s="75"/>
      <c r="AD15" s="21">
        <f t="shared" ref="AD15:AD30" si="0">C15+E15+G15+I15+K15+M15+O15+Q15+S15+U15+W15+Y15+AA15+AC15</f>
        <v>2</v>
      </c>
    </row>
    <row r="16" spans="1:30" ht="23.25" x14ac:dyDescent="0.25">
      <c r="A16" s="68" t="s">
        <v>45</v>
      </c>
      <c r="B16" s="77"/>
      <c r="C16" s="69"/>
      <c r="D16" s="69"/>
      <c r="E16" s="71"/>
      <c r="F16" s="77"/>
      <c r="G16" s="69"/>
      <c r="H16" s="69"/>
      <c r="I16" s="71"/>
      <c r="J16" s="77" t="s">
        <v>86</v>
      </c>
      <c r="K16" s="69">
        <v>2</v>
      </c>
      <c r="L16" s="69"/>
      <c r="M16" s="71"/>
      <c r="N16" s="77"/>
      <c r="O16" s="69"/>
      <c r="P16" s="69"/>
      <c r="Q16" s="71"/>
      <c r="R16" s="77"/>
      <c r="S16" s="69"/>
      <c r="T16" s="69"/>
      <c r="U16" s="71"/>
      <c r="V16" s="77"/>
      <c r="W16" s="69"/>
      <c r="X16" s="69"/>
      <c r="Y16" s="71"/>
      <c r="Z16" s="77"/>
      <c r="AA16" s="69"/>
      <c r="AB16" s="69"/>
      <c r="AC16" s="71"/>
      <c r="AD16" s="21">
        <f t="shared" si="0"/>
        <v>2</v>
      </c>
    </row>
    <row r="17" spans="1:30" x14ac:dyDescent="0.25">
      <c r="A17" s="68"/>
      <c r="B17" s="77"/>
      <c r="C17" s="69"/>
      <c r="D17" s="69"/>
      <c r="E17" s="71"/>
      <c r="F17" s="77"/>
      <c r="G17" s="69"/>
      <c r="H17" s="69"/>
      <c r="I17" s="71"/>
      <c r="J17" s="77"/>
      <c r="K17" s="69"/>
      <c r="L17" s="69"/>
      <c r="M17" s="71"/>
      <c r="N17" s="77"/>
      <c r="O17" s="69"/>
      <c r="P17" s="69"/>
      <c r="Q17" s="71"/>
      <c r="R17" s="77"/>
      <c r="S17" s="69"/>
      <c r="T17" s="69"/>
      <c r="U17" s="71"/>
      <c r="V17" s="77"/>
      <c r="W17" s="69"/>
      <c r="X17" s="69"/>
      <c r="Y17" s="71"/>
      <c r="Z17" s="77"/>
      <c r="AA17" s="73"/>
      <c r="AB17" s="69"/>
      <c r="AC17" s="75"/>
      <c r="AD17" s="21">
        <f t="shared" si="0"/>
        <v>0</v>
      </c>
    </row>
    <row r="18" spans="1:30" x14ac:dyDescent="0.25">
      <c r="A18" s="68"/>
      <c r="B18" s="77"/>
      <c r="C18" s="69"/>
      <c r="D18" s="69"/>
      <c r="E18" s="71"/>
      <c r="F18" s="77"/>
      <c r="G18" s="69"/>
      <c r="H18" s="69"/>
      <c r="I18" s="71"/>
      <c r="J18" s="77"/>
      <c r="K18" s="69"/>
      <c r="L18" s="69"/>
      <c r="M18" s="71"/>
      <c r="N18" s="77"/>
      <c r="O18" s="69"/>
      <c r="P18" s="69"/>
      <c r="Q18" s="71"/>
      <c r="R18" s="77"/>
      <c r="S18" s="69"/>
      <c r="T18" s="69"/>
      <c r="U18" s="71"/>
      <c r="V18" s="77"/>
      <c r="W18" s="69"/>
      <c r="X18" s="69"/>
      <c r="Y18" s="71"/>
      <c r="Z18" s="77"/>
      <c r="AA18" s="73"/>
      <c r="AB18" s="69"/>
      <c r="AC18" s="75"/>
      <c r="AD18" s="21">
        <f t="shared" si="0"/>
        <v>0</v>
      </c>
    </row>
    <row r="19" spans="1:30" x14ac:dyDescent="0.25">
      <c r="A19" s="68"/>
      <c r="B19" s="77"/>
      <c r="C19" s="69"/>
      <c r="D19" s="69"/>
      <c r="E19" s="71"/>
      <c r="F19" s="77"/>
      <c r="G19" s="69"/>
      <c r="H19" s="69"/>
      <c r="I19" s="71"/>
      <c r="J19" s="77"/>
      <c r="K19" s="69"/>
      <c r="L19" s="69"/>
      <c r="M19" s="71"/>
      <c r="N19" s="77"/>
      <c r="O19" s="69"/>
      <c r="P19" s="69"/>
      <c r="Q19" s="71"/>
      <c r="R19" s="77"/>
      <c r="S19" s="69"/>
      <c r="T19" s="69"/>
      <c r="U19" s="71"/>
      <c r="V19" s="77"/>
      <c r="W19" s="69"/>
      <c r="X19" s="69"/>
      <c r="Y19" s="71"/>
      <c r="Z19" s="77"/>
      <c r="AA19" s="73"/>
      <c r="AB19" s="69"/>
      <c r="AC19" s="75"/>
      <c r="AD19" s="21">
        <f t="shared" si="0"/>
        <v>0</v>
      </c>
    </row>
    <row r="20" spans="1:30" x14ac:dyDescent="0.25">
      <c r="A20" s="68"/>
      <c r="B20" s="77"/>
      <c r="C20" s="69"/>
      <c r="D20" s="69"/>
      <c r="E20" s="71"/>
      <c r="F20" s="77"/>
      <c r="G20" s="69"/>
      <c r="H20" s="69"/>
      <c r="I20" s="71"/>
      <c r="J20" s="77"/>
      <c r="K20" s="69"/>
      <c r="L20" s="69"/>
      <c r="M20" s="71"/>
      <c r="N20" s="77"/>
      <c r="O20" s="69"/>
      <c r="P20" s="69"/>
      <c r="Q20" s="71"/>
      <c r="R20" s="77"/>
      <c r="S20" s="69"/>
      <c r="T20" s="69"/>
      <c r="U20" s="71"/>
      <c r="V20" s="77"/>
      <c r="W20" s="69"/>
      <c r="X20" s="69"/>
      <c r="Y20" s="71"/>
      <c r="Z20" s="77"/>
      <c r="AA20" s="73"/>
      <c r="AB20" s="69"/>
      <c r="AC20" s="75"/>
      <c r="AD20" s="21">
        <f t="shared" si="0"/>
        <v>0</v>
      </c>
    </row>
    <row r="21" spans="1:30" x14ac:dyDescent="0.25">
      <c r="A21" s="68"/>
      <c r="B21" s="77"/>
      <c r="C21" s="69"/>
      <c r="D21" s="69"/>
      <c r="E21" s="71"/>
      <c r="F21" s="77"/>
      <c r="G21" s="69"/>
      <c r="H21" s="69"/>
      <c r="I21" s="71"/>
      <c r="J21" s="77"/>
      <c r="K21" s="69"/>
      <c r="L21" s="69"/>
      <c r="M21" s="71"/>
      <c r="N21" s="77"/>
      <c r="O21" s="69"/>
      <c r="P21" s="69"/>
      <c r="Q21" s="71"/>
      <c r="R21" s="77"/>
      <c r="S21" s="69"/>
      <c r="T21" s="69"/>
      <c r="U21" s="71"/>
      <c r="V21" s="77"/>
      <c r="W21" s="69"/>
      <c r="X21" s="69"/>
      <c r="Y21" s="71"/>
      <c r="Z21" s="77"/>
      <c r="AA21" s="73"/>
      <c r="AB21" s="69"/>
      <c r="AC21" s="75"/>
      <c r="AD21" s="21">
        <f t="shared" si="0"/>
        <v>0</v>
      </c>
    </row>
    <row r="22" spans="1:30" x14ac:dyDescent="0.25">
      <c r="A22" s="68"/>
      <c r="B22" s="77"/>
      <c r="C22" s="69"/>
      <c r="D22" s="69"/>
      <c r="E22" s="71"/>
      <c r="F22" s="77"/>
      <c r="G22" s="69"/>
      <c r="H22" s="69"/>
      <c r="I22" s="71"/>
      <c r="J22" s="77"/>
      <c r="K22" s="69"/>
      <c r="L22" s="69"/>
      <c r="M22" s="71"/>
      <c r="N22" s="77"/>
      <c r="O22" s="69"/>
      <c r="P22" s="69"/>
      <c r="Q22" s="71"/>
      <c r="R22" s="77"/>
      <c r="S22" s="69"/>
      <c r="T22" s="69"/>
      <c r="U22" s="71"/>
      <c r="V22" s="77"/>
      <c r="W22" s="69"/>
      <c r="X22" s="69"/>
      <c r="Y22" s="71"/>
      <c r="Z22" s="77"/>
      <c r="AA22" s="73"/>
      <c r="AB22" s="69"/>
      <c r="AC22" s="75"/>
      <c r="AD22" s="21">
        <f t="shared" si="0"/>
        <v>0</v>
      </c>
    </row>
    <row r="23" spans="1:30" x14ac:dyDescent="0.25">
      <c r="A23" s="68"/>
      <c r="B23" s="77"/>
      <c r="C23" s="69"/>
      <c r="D23" s="69"/>
      <c r="E23" s="71"/>
      <c r="F23" s="77"/>
      <c r="G23" s="69"/>
      <c r="H23" s="69"/>
      <c r="I23" s="71"/>
      <c r="J23" s="77"/>
      <c r="K23" s="69"/>
      <c r="L23" s="69"/>
      <c r="M23" s="71"/>
      <c r="N23" s="77"/>
      <c r="O23" s="69"/>
      <c r="P23" s="69"/>
      <c r="Q23" s="71"/>
      <c r="R23" s="77"/>
      <c r="S23" s="69"/>
      <c r="T23" s="69"/>
      <c r="U23" s="71"/>
      <c r="V23" s="77"/>
      <c r="W23" s="69"/>
      <c r="X23" s="69"/>
      <c r="Y23" s="71"/>
      <c r="Z23" s="77"/>
      <c r="AA23" s="73"/>
      <c r="AB23" s="69"/>
      <c r="AC23" s="75"/>
      <c r="AD23" s="21">
        <f t="shared" si="0"/>
        <v>0</v>
      </c>
    </row>
    <row r="24" spans="1:30" x14ac:dyDescent="0.25">
      <c r="A24" s="68"/>
      <c r="B24" s="77"/>
      <c r="C24" s="69"/>
      <c r="D24" s="69"/>
      <c r="E24" s="71"/>
      <c r="F24" s="77"/>
      <c r="G24" s="69"/>
      <c r="H24" s="69"/>
      <c r="I24" s="71"/>
      <c r="J24" s="77"/>
      <c r="K24" s="69"/>
      <c r="L24" s="69"/>
      <c r="M24" s="71"/>
      <c r="N24" s="77"/>
      <c r="O24" s="69"/>
      <c r="P24" s="69"/>
      <c r="Q24" s="71"/>
      <c r="R24" s="77"/>
      <c r="S24" s="69"/>
      <c r="T24" s="69"/>
      <c r="U24" s="71"/>
      <c r="V24" s="77"/>
      <c r="W24" s="69"/>
      <c r="X24" s="69"/>
      <c r="Y24" s="71"/>
      <c r="Z24" s="77"/>
      <c r="AA24" s="73"/>
      <c r="AB24" s="69"/>
      <c r="AC24" s="75"/>
      <c r="AD24" s="21">
        <f t="shared" si="0"/>
        <v>0</v>
      </c>
    </row>
    <row r="25" spans="1:30" x14ac:dyDescent="0.25">
      <c r="A25" s="68"/>
      <c r="B25" s="77"/>
      <c r="C25" s="69"/>
      <c r="D25" s="69"/>
      <c r="E25" s="71"/>
      <c r="F25" s="77"/>
      <c r="G25" s="69"/>
      <c r="H25" s="69"/>
      <c r="I25" s="71"/>
      <c r="J25" s="77"/>
      <c r="K25" s="69"/>
      <c r="L25" s="69"/>
      <c r="M25" s="71"/>
      <c r="N25" s="77"/>
      <c r="O25" s="69"/>
      <c r="P25" s="69"/>
      <c r="Q25" s="71"/>
      <c r="R25" s="77"/>
      <c r="S25" s="69"/>
      <c r="T25" s="69"/>
      <c r="U25" s="71"/>
      <c r="V25" s="77"/>
      <c r="W25" s="69"/>
      <c r="X25" s="69"/>
      <c r="Y25" s="71"/>
      <c r="Z25" s="77"/>
      <c r="AA25" s="73"/>
      <c r="AB25" s="69"/>
      <c r="AC25" s="75"/>
      <c r="AD25" s="21">
        <f t="shared" si="0"/>
        <v>0</v>
      </c>
    </row>
    <row r="26" spans="1:30" x14ac:dyDescent="0.25">
      <c r="A26" s="68"/>
      <c r="B26" s="77"/>
      <c r="C26" s="69"/>
      <c r="D26" s="69"/>
      <c r="E26" s="71"/>
      <c r="F26" s="77"/>
      <c r="G26" s="69"/>
      <c r="H26" s="69"/>
      <c r="I26" s="71"/>
      <c r="J26" s="77"/>
      <c r="K26" s="69"/>
      <c r="L26" s="69"/>
      <c r="M26" s="71"/>
      <c r="N26" s="77"/>
      <c r="O26" s="69"/>
      <c r="P26" s="69"/>
      <c r="Q26" s="71"/>
      <c r="R26" s="77"/>
      <c r="S26" s="69"/>
      <c r="T26" s="69"/>
      <c r="U26" s="71"/>
      <c r="V26" s="77"/>
      <c r="W26" s="69"/>
      <c r="X26" s="69"/>
      <c r="Y26" s="71"/>
      <c r="Z26" s="77"/>
      <c r="AA26" s="73"/>
      <c r="AB26" s="69"/>
      <c r="AC26" s="75"/>
      <c r="AD26" s="21">
        <f t="shared" si="0"/>
        <v>0</v>
      </c>
    </row>
    <row r="27" spans="1:30" x14ac:dyDescent="0.25">
      <c r="A27" s="68"/>
      <c r="B27" s="77"/>
      <c r="C27" s="69"/>
      <c r="D27" s="69"/>
      <c r="E27" s="71"/>
      <c r="F27" s="77"/>
      <c r="G27" s="69"/>
      <c r="H27" s="69"/>
      <c r="I27" s="71"/>
      <c r="J27" s="77"/>
      <c r="K27" s="69"/>
      <c r="L27" s="69"/>
      <c r="M27" s="71"/>
      <c r="N27" s="77"/>
      <c r="O27" s="69"/>
      <c r="P27" s="69"/>
      <c r="Q27" s="71"/>
      <c r="R27" s="77"/>
      <c r="S27" s="69"/>
      <c r="T27" s="69"/>
      <c r="U27" s="71"/>
      <c r="V27" s="77"/>
      <c r="W27" s="69"/>
      <c r="X27" s="69"/>
      <c r="Y27" s="71"/>
      <c r="Z27" s="77"/>
      <c r="AA27" s="73"/>
      <c r="AB27" s="69"/>
      <c r="AC27" s="75"/>
      <c r="AD27" s="21">
        <f t="shared" si="0"/>
        <v>0</v>
      </c>
    </row>
    <row r="28" spans="1:30" x14ac:dyDescent="0.25">
      <c r="A28" s="68"/>
      <c r="B28" s="77"/>
      <c r="C28" s="69"/>
      <c r="D28" s="69"/>
      <c r="E28" s="71"/>
      <c r="F28" s="77"/>
      <c r="G28" s="69"/>
      <c r="H28" s="69"/>
      <c r="I28" s="71"/>
      <c r="J28" s="77"/>
      <c r="K28" s="69"/>
      <c r="L28" s="69"/>
      <c r="M28" s="71"/>
      <c r="N28" s="77"/>
      <c r="O28" s="69"/>
      <c r="P28" s="69"/>
      <c r="Q28" s="71"/>
      <c r="R28" s="77"/>
      <c r="S28" s="69"/>
      <c r="T28" s="69"/>
      <c r="U28" s="71"/>
      <c r="V28" s="77"/>
      <c r="W28" s="69"/>
      <c r="X28" s="69"/>
      <c r="Y28" s="71"/>
      <c r="Z28" s="77"/>
      <c r="AA28" s="73"/>
      <c r="AB28" s="69"/>
      <c r="AC28" s="75"/>
      <c r="AD28" s="21">
        <f t="shared" si="0"/>
        <v>0</v>
      </c>
    </row>
    <row r="29" spans="1:30" ht="15.75" thickBot="1" x14ac:dyDescent="0.3">
      <c r="A29" s="68"/>
      <c r="B29" s="78"/>
      <c r="C29" s="70"/>
      <c r="D29" s="70"/>
      <c r="E29" s="72"/>
      <c r="F29" s="78"/>
      <c r="G29" s="70"/>
      <c r="H29" s="70"/>
      <c r="I29" s="72"/>
      <c r="J29" s="78"/>
      <c r="K29" s="70"/>
      <c r="L29" s="70"/>
      <c r="M29" s="72"/>
      <c r="N29" s="78"/>
      <c r="O29" s="70"/>
      <c r="P29" s="70"/>
      <c r="Q29" s="72"/>
      <c r="R29" s="78"/>
      <c r="S29" s="70"/>
      <c r="T29" s="70"/>
      <c r="U29" s="72"/>
      <c r="V29" s="78"/>
      <c r="W29" s="70"/>
      <c r="X29" s="70"/>
      <c r="Y29" s="72"/>
      <c r="Z29" s="78"/>
      <c r="AA29" s="74"/>
      <c r="AB29" s="70"/>
      <c r="AC29" s="76"/>
      <c r="AD29" s="22">
        <f t="shared" si="0"/>
        <v>0</v>
      </c>
    </row>
    <row r="30" spans="1:30" x14ac:dyDescent="0.25">
      <c r="A30" s="1"/>
      <c r="B30" s="1"/>
      <c r="C30" s="1">
        <f>SUM(C13:C29)</f>
        <v>0</v>
      </c>
      <c r="D30" s="1"/>
      <c r="E30" s="1">
        <f>SUM(E13:E29)</f>
        <v>0</v>
      </c>
      <c r="F30" s="1"/>
      <c r="G30" s="1">
        <f>SUM(G13:G29)</f>
        <v>0</v>
      </c>
      <c r="H30" s="1"/>
      <c r="I30" s="1">
        <f>SUM(I13:I29)</f>
        <v>0</v>
      </c>
      <c r="J30" s="1"/>
      <c r="K30" s="1">
        <f>SUM(K13:K29)</f>
        <v>7</v>
      </c>
      <c r="L30" s="1"/>
      <c r="M30" s="1">
        <f>SUM(M13:M29)</f>
        <v>0</v>
      </c>
      <c r="N30" s="1"/>
      <c r="O30" s="1">
        <f>SUM(O13:O29)</f>
        <v>0</v>
      </c>
      <c r="P30" s="1"/>
      <c r="Q30" s="1">
        <f>SUM(Q13:Q29)</f>
        <v>0</v>
      </c>
      <c r="R30" s="1"/>
      <c r="S30" s="1">
        <f>SUM(S13:S29)</f>
        <v>0</v>
      </c>
      <c r="T30" s="1"/>
      <c r="U30" s="1">
        <f>SUM(U13:U29)</f>
        <v>0</v>
      </c>
      <c r="V30" s="1"/>
      <c r="W30" s="1">
        <f>SUM(W13:W29)</f>
        <v>0</v>
      </c>
      <c r="X30" s="1"/>
      <c r="Y30" s="1">
        <f>SUM(Y13:Y29)</f>
        <v>0</v>
      </c>
      <c r="Z30" s="1"/>
      <c r="AA30" s="1">
        <f>SUM(AA13:AA29)</f>
        <v>0</v>
      </c>
      <c r="AB30" s="1"/>
      <c r="AC30" s="1">
        <f>SUM(AC13:AC29)</f>
        <v>0</v>
      </c>
      <c r="AD30" s="18">
        <f t="shared" si="0"/>
        <v>7</v>
      </c>
    </row>
  </sheetData>
  <sheetProtection sheet="1" objects="1" scenarios="1" selectLockedCells="1"/>
  <mergeCells count="8">
    <mergeCell ref="B3:F3"/>
    <mergeCell ref="Z10:AB10"/>
    <mergeCell ref="B10:D10"/>
    <mergeCell ref="F10:H10"/>
    <mergeCell ref="J10:L10"/>
    <mergeCell ref="N10:P10"/>
    <mergeCell ref="R10:T10"/>
    <mergeCell ref="V10:X10"/>
  </mergeCells>
  <dataValidations count="2">
    <dataValidation type="list" allowBlank="1" showInputMessage="1" showErrorMessage="1" sqref="A13:A29">
      <formula1>equipe</formula1>
    </dataValidation>
    <dataValidation type="list" allowBlank="1" showInputMessage="1" showErrorMessage="1" sqref="B13:B29 H13:H29 L13:L29 P13:P29 T13:T29 X13:X29 D13:D29 F13:F29 J13:J29 N13:N29 R13:R29 V13:V29 Z13:Z29 AB13:AB29">
      <formula1>taches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outon 1">
              <controlPr defaultSize="0" print="0" autoFill="0" autoPict="0" macro="[0]!Recherche_tache">
                <anchor moveWithCells="1" sizeWithCells="1">
                  <from>
                    <xdr:col>11</xdr:col>
                    <xdr:colOff>9525</xdr:colOff>
                    <xdr:row>6</xdr:row>
                    <xdr:rowOff>171450</xdr:rowOff>
                  </from>
                  <to>
                    <xdr:col>11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AD30"/>
  <sheetViews>
    <sheetView workbookViewId="0">
      <selection activeCell="X13" sqref="X13"/>
    </sheetView>
  </sheetViews>
  <sheetFormatPr baseColWidth="10" defaultRowHeight="15" x14ac:dyDescent="0.25"/>
  <cols>
    <col min="2" max="2" width="11.7109375" customWidth="1"/>
    <col min="3" max="3" width="3.85546875" customWidth="1"/>
    <col min="4" max="4" width="11.7109375" customWidth="1"/>
    <col min="5" max="5" width="3.85546875" customWidth="1"/>
    <col min="6" max="6" width="11.7109375" customWidth="1"/>
    <col min="7" max="7" width="3.85546875" customWidth="1"/>
    <col min="8" max="8" width="11.7109375" customWidth="1"/>
    <col min="9" max="9" width="3.85546875" customWidth="1"/>
    <col min="10" max="10" width="11.7109375" customWidth="1"/>
    <col min="11" max="11" width="3.85546875" customWidth="1"/>
    <col min="12" max="12" width="11.7109375" customWidth="1"/>
    <col min="13" max="13" width="3.85546875" customWidth="1"/>
    <col min="14" max="14" width="11.7109375" customWidth="1"/>
    <col min="15" max="15" width="3.85546875" customWidth="1"/>
    <col min="16" max="16" width="11.7109375" customWidth="1"/>
    <col min="17" max="17" width="3.85546875" customWidth="1"/>
    <col min="18" max="18" width="11.7109375" customWidth="1"/>
    <col min="19" max="19" width="3.85546875" customWidth="1"/>
    <col min="20" max="20" width="11.7109375" customWidth="1"/>
    <col min="21" max="21" width="3.85546875" customWidth="1"/>
    <col min="22" max="22" width="11.7109375" customWidth="1"/>
    <col min="23" max="23" width="3.85546875" customWidth="1"/>
    <col min="24" max="24" width="11.7109375" customWidth="1"/>
    <col min="25" max="25" width="3.85546875" customWidth="1"/>
    <col min="26" max="26" width="11.7109375" customWidth="1"/>
    <col min="27" max="27" width="4.5703125" customWidth="1"/>
    <col min="28" max="28" width="11.42578125" customWidth="1"/>
    <col min="29" max="29" width="4.28515625" customWidth="1"/>
    <col min="30" max="30" width="7.5703125" customWidth="1"/>
  </cols>
  <sheetData>
    <row r="1" spans="1:30" ht="15.75" thickBot="1" x14ac:dyDescent="0.3">
      <c r="A1" s="1"/>
      <c r="B1" s="43" t="s">
        <v>5</v>
      </c>
      <c r="C1" s="44">
        <v>9</v>
      </c>
      <c r="D1" s="45" t="s">
        <v>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3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0" x14ac:dyDescent="0.25">
      <c r="A3" s="1"/>
      <c r="B3" s="83" t="s">
        <v>20</v>
      </c>
      <c r="C3" s="83"/>
      <c r="D3" s="83"/>
      <c r="E3" s="83"/>
      <c r="F3" s="83"/>
      <c r="G3" s="46">
        <f>E10+I10+M10+Q10+U10+Y10+AC10</f>
        <v>2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0" x14ac:dyDescent="0.25">
      <c r="A4" s="1"/>
      <c r="B4" s="47"/>
      <c r="C4" s="47"/>
      <c r="D4" s="47"/>
      <c r="E4" s="47"/>
      <c r="F4" s="48" t="str">
        <f>Resume!A5</f>
        <v>Adrien</v>
      </c>
      <c r="G4" s="48">
        <v>0</v>
      </c>
      <c r="H4" s="1"/>
      <c r="I4" s="1"/>
      <c r="J4" s="1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30" x14ac:dyDescent="0.25">
      <c r="A5" s="1"/>
      <c r="B5" s="47"/>
      <c r="C5" s="47"/>
      <c r="D5" s="47"/>
      <c r="E5" s="47"/>
      <c r="F5" s="48" t="str">
        <f>Resume!A6</f>
        <v>Abdoulaye</v>
      </c>
      <c r="G5" s="48">
        <v>0</v>
      </c>
      <c r="H5" s="1"/>
      <c r="I5" s="1"/>
      <c r="J5" s="1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30" x14ac:dyDescent="0.25">
      <c r="A6" s="1"/>
      <c r="B6" s="47"/>
      <c r="C6" s="47"/>
      <c r="D6" s="47"/>
      <c r="E6" s="47"/>
      <c r="F6" s="48" t="str">
        <f>Resume!A7</f>
        <v>Shawez</v>
      </c>
      <c r="G6" s="48">
        <v>0</v>
      </c>
      <c r="H6" s="1"/>
      <c r="I6" s="1"/>
      <c r="J6" s="1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30" x14ac:dyDescent="0.25">
      <c r="A7" s="1"/>
      <c r="B7" s="49"/>
      <c r="C7" s="49"/>
      <c r="D7" s="49"/>
      <c r="E7" s="49"/>
      <c r="F7" s="48" t="str">
        <f>Resume!A8</f>
        <v>Nadir</v>
      </c>
      <c r="G7" s="48">
        <v>0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30" x14ac:dyDescent="0.25">
      <c r="A8" s="1"/>
      <c r="B8" s="49"/>
      <c r="C8" s="49"/>
      <c r="D8" s="49"/>
      <c r="E8" s="49"/>
      <c r="F8" s="48" t="str">
        <f>Resume!A9</f>
        <v>L'équipe</v>
      </c>
      <c r="G8" s="48">
        <v>2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30" ht="15.75" thickBot="1" x14ac:dyDescent="0.3">
      <c r="A9" s="1"/>
      <c r="B9" s="1"/>
      <c r="C9" s="1"/>
      <c r="D9" s="1"/>
      <c r="E9" s="1"/>
      <c r="F9" s="1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30" ht="30" x14ac:dyDescent="0.25">
      <c r="A10" s="12" t="s">
        <v>24</v>
      </c>
      <c r="B10" s="84" t="s">
        <v>25</v>
      </c>
      <c r="C10" s="85"/>
      <c r="D10" s="86"/>
      <c r="E10" s="16">
        <f>C30+E30</f>
        <v>0</v>
      </c>
      <c r="F10" s="84" t="s">
        <v>26</v>
      </c>
      <c r="G10" s="85"/>
      <c r="H10" s="86"/>
      <c r="I10" s="16">
        <f>G30+I30</f>
        <v>0</v>
      </c>
      <c r="J10" s="80" t="s">
        <v>27</v>
      </c>
      <c r="K10" s="81"/>
      <c r="L10" s="82"/>
      <c r="M10" s="16">
        <f>K30+M30</f>
        <v>2</v>
      </c>
      <c r="N10" s="80" t="s">
        <v>28</v>
      </c>
      <c r="O10" s="81"/>
      <c r="P10" s="82"/>
      <c r="Q10" s="16">
        <f>O30+Q30</f>
        <v>0</v>
      </c>
      <c r="R10" s="80" t="s">
        <v>29</v>
      </c>
      <c r="S10" s="81"/>
      <c r="T10" s="82"/>
      <c r="U10" s="16">
        <f>S30+U30</f>
        <v>0</v>
      </c>
      <c r="V10" s="80" t="s">
        <v>30</v>
      </c>
      <c r="W10" s="81"/>
      <c r="X10" s="82"/>
      <c r="Y10" s="16">
        <f>W30+Y30</f>
        <v>0</v>
      </c>
      <c r="Z10" s="80" t="s">
        <v>31</v>
      </c>
      <c r="AA10" s="81"/>
      <c r="AB10" s="82"/>
      <c r="AC10" s="16">
        <f>AA30+AC30</f>
        <v>0</v>
      </c>
      <c r="AD10" s="19"/>
    </row>
    <row r="11" spans="1:30" x14ac:dyDescent="0.25">
      <c r="A11" s="13"/>
      <c r="B11" s="14">
        <f>Resume!D1+($C$1-1)*7</f>
        <v>43111</v>
      </c>
      <c r="C11" s="6"/>
      <c r="D11" s="7"/>
      <c r="E11" s="17"/>
      <c r="F11" s="14">
        <f>B11+1</f>
        <v>43112</v>
      </c>
      <c r="G11" s="6"/>
      <c r="H11" s="7"/>
      <c r="I11" s="15"/>
      <c r="J11" s="14">
        <f>F11+1</f>
        <v>43113</v>
      </c>
      <c r="K11" s="6"/>
      <c r="L11" s="7"/>
      <c r="M11" s="15"/>
      <c r="N11" s="14">
        <f>J11+1</f>
        <v>43114</v>
      </c>
      <c r="O11" s="6"/>
      <c r="P11" s="7"/>
      <c r="Q11" s="15"/>
      <c r="R11" s="14">
        <f>N11+1</f>
        <v>43115</v>
      </c>
      <c r="S11" s="6"/>
      <c r="T11" s="7"/>
      <c r="U11" s="15"/>
      <c r="V11" s="14">
        <f>R11+1</f>
        <v>43116</v>
      </c>
      <c r="W11" s="6"/>
      <c r="X11" s="7"/>
      <c r="Y11" s="15"/>
      <c r="Z11" s="14">
        <f>V11+1</f>
        <v>43117</v>
      </c>
      <c r="AA11" s="9"/>
      <c r="AB11" s="7"/>
      <c r="AC11" s="10"/>
      <c r="AD11" s="20" t="s">
        <v>22</v>
      </c>
    </row>
    <row r="12" spans="1:30" s="8" customFormat="1" ht="30" x14ac:dyDescent="0.25">
      <c r="A12" s="36" t="s">
        <v>4</v>
      </c>
      <c r="B12" s="37" t="s">
        <v>33</v>
      </c>
      <c r="C12" s="38" t="s">
        <v>16</v>
      </c>
      <c r="D12" s="38" t="s">
        <v>34</v>
      </c>
      <c r="E12" s="39" t="s">
        <v>16</v>
      </c>
      <c r="F12" s="37" t="s">
        <v>35</v>
      </c>
      <c r="G12" s="38" t="s">
        <v>16</v>
      </c>
      <c r="H12" s="38" t="s">
        <v>36</v>
      </c>
      <c r="I12" s="39" t="s">
        <v>16</v>
      </c>
      <c r="J12" s="37" t="s">
        <v>8</v>
      </c>
      <c r="K12" s="38" t="s">
        <v>16</v>
      </c>
      <c r="L12" s="38" t="s">
        <v>9</v>
      </c>
      <c r="M12" s="39" t="s">
        <v>16</v>
      </c>
      <c r="N12" s="37" t="s">
        <v>37</v>
      </c>
      <c r="O12" s="38" t="s">
        <v>16</v>
      </c>
      <c r="P12" s="38" t="s">
        <v>38</v>
      </c>
      <c r="Q12" s="39" t="s">
        <v>16</v>
      </c>
      <c r="R12" s="37" t="s">
        <v>10</v>
      </c>
      <c r="S12" s="38" t="s">
        <v>16</v>
      </c>
      <c r="T12" s="38" t="s">
        <v>11</v>
      </c>
      <c r="U12" s="39" t="s">
        <v>16</v>
      </c>
      <c r="V12" s="37" t="s">
        <v>12</v>
      </c>
      <c r="W12" s="38" t="s">
        <v>16</v>
      </c>
      <c r="X12" s="38" t="s">
        <v>13</v>
      </c>
      <c r="Y12" s="39" t="s">
        <v>16</v>
      </c>
      <c r="Z12" s="37" t="s">
        <v>14</v>
      </c>
      <c r="AA12" s="40" t="s">
        <v>16</v>
      </c>
      <c r="AB12" s="38" t="s">
        <v>15</v>
      </c>
      <c r="AC12" s="41" t="s">
        <v>16</v>
      </c>
      <c r="AD12" s="42" t="s">
        <v>16</v>
      </c>
    </row>
    <row r="13" spans="1:30" ht="45.75" x14ac:dyDescent="0.25">
      <c r="A13" s="68" t="s">
        <v>42</v>
      </c>
      <c r="B13" s="77"/>
      <c r="C13" s="69"/>
      <c r="D13" s="69"/>
      <c r="E13" s="71"/>
      <c r="F13" s="77"/>
      <c r="G13" s="69"/>
      <c r="H13" s="69"/>
      <c r="I13" s="71"/>
      <c r="J13" s="77"/>
      <c r="K13" s="69"/>
      <c r="L13" s="69" t="s">
        <v>85</v>
      </c>
      <c r="M13" s="71">
        <v>2</v>
      </c>
      <c r="N13" s="77"/>
      <c r="O13" s="69"/>
      <c r="P13" s="69"/>
      <c r="Q13" s="71"/>
      <c r="R13" s="77"/>
      <c r="S13" s="69"/>
      <c r="T13" s="69"/>
      <c r="U13" s="71"/>
      <c r="V13" s="77"/>
      <c r="W13" s="69"/>
      <c r="X13" s="69"/>
      <c r="Y13" s="71"/>
      <c r="Z13" s="77"/>
      <c r="AA13" s="73"/>
      <c r="AB13" s="69"/>
      <c r="AC13" s="75"/>
      <c r="AD13" s="21">
        <f>C13+E13+G13+I13+K13+M13+O13+Q13+S13+U13+W13+Y13+AA13+AC13</f>
        <v>2</v>
      </c>
    </row>
    <row r="14" spans="1:30" x14ac:dyDescent="0.25">
      <c r="A14" s="68"/>
      <c r="B14" s="77"/>
      <c r="C14" s="69"/>
      <c r="D14" s="69"/>
      <c r="E14" s="71"/>
      <c r="F14" s="77"/>
      <c r="G14" s="69"/>
      <c r="H14" s="69"/>
      <c r="I14" s="71"/>
      <c r="J14" s="77"/>
      <c r="K14" s="69"/>
      <c r="L14" s="69"/>
      <c r="M14" s="71"/>
      <c r="N14" s="77"/>
      <c r="O14" s="69"/>
      <c r="P14" s="69"/>
      <c r="Q14" s="71"/>
      <c r="R14" s="77"/>
      <c r="S14" s="69"/>
      <c r="T14" s="69"/>
      <c r="U14" s="71"/>
      <c r="V14" s="77"/>
      <c r="W14" s="69"/>
      <c r="X14" s="69"/>
      <c r="Y14" s="71"/>
      <c r="Z14" s="77"/>
      <c r="AA14" s="73"/>
      <c r="AB14" s="69"/>
      <c r="AC14" s="75"/>
      <c r="AD14" s="21">
        <f>C14+E14+G14+I14+K14+M14+O14+Q14+S14+U14+W14+Y14+AA14+AC14</f>
        <v>0</v>
      </c>
    </row>
    <row r="15" spans="1:30" x14ac:dyDescent="0.25">
      <c r="A15" s="68"/>
      <c r="B15" s="77"/>
      <c r="C15" s="69"/>
      <c r="D15" s="69"/>
      <c r="E15" s="71"/>
      <c r="F15" s="77"/>
      <c r="G15" s="69"/>
      <c r="H15" s="69"/>
      <c r="I15" s="71"/>
      <c r="J15" s="77"/>
      <c r="K15" s="69"/>
      <c r="L15" s="69"/>
      <c r="M15" s="71"/>
      <c r="N15" s="77"/>
      <c r="O15" s="69"/>
      <c r="P15" s="69"/>
      <c r="Q15" s="71"/>
      <c r="R15" s="77"/>
      <c r="S15" s="69"/>
      <c r="T15" s="69"/>
      <c r="U15" s="71"/>
      <c r="V15" s="77"/>
      <c r="W15" s="69"/>
      <c r="X15" s="69"/>
      <c r="Y15" s="71"/>
      <c r="Z15" s="77"/>
      <c r="AA15" s="73"/>
      <c r="AB15" s="69"/>
      <c r="AC15" s="75"/>
      <c r="AD15" s="21">
        <f t="shared" ref="AD15:AD30" si="0">C15+E15+G15+I15+K15+M15+O15+Q15+S15+U15+W15+Y15+AA15+AC15</f>
        <v>0</v>
      </c>
    </row>
    <row r="16" spans="1:30" x14ac:dyDescent="0.25">
      <c r="A16" s="68"/>
      <c r="B16" s="77"/>
      <c r="C16" s="69"/>
      <c r="D16" s="69"/>
      <c r="E16" s="71"/>
      <c r="F16" s="77"/>
      <c r="G16" s="69"/>
      <c r="H16" s="69"/>
      <c r="I16" s="71"/>
      <c r="J16" s="77"/>
      <c r="K16" s="69"/>
      <c r="L16" s="69"/>
      <c r="M16" s="71"/>
      <c r="N16" s="77"/>
      <c r="O16" s="69"/>
      <c r="P16" s="69"/>
      <c r="Q16" s="71"/>
      <c r="R16" s="77"/>
      <c r="S16" s="69"/>
      <c r="T16" s="69"/>
      <c r="U16" s="71"/>
      <c r="V16" s="77"/>
      <c r="W16" s="69"/>
      <c r="X16" s="69"/>
      <c r="Y16" s="71"/>
      <c r="Z16" s="77"/>
      <c r="AA16" s="69"/>
      <c r="AB16" s="69"/>
      <c r="AC16" s="71"/>
      <c r="AD16" s="21">
        <f t="shared" si="0"/>
        <v>0</v>
      </c>
    </row>
    <row r="17" spans="1:30" x14ac:dyDescent="0.25">
      <c r="A17" s="68"/>
      <c r="B17" s="77"/>
      <c r="C17" s="69"/>
      <c r="D17" s="69"/>
      <c r="E17" s="71"/>
      <c r="F17" s="77"/>
      <c r="G17" s="69"/>
      <c r="H17" s="69"/>
      <c r="I17" s="71"/>
      <c r="J17" s="77"/>
      <c r="K17" s="69"/>
      <c r="L17" s="69"/>
      <c r="M17" s="71"/>
      <c r="N17" s="77"/>
      <c r="O17" s="69"/>
      <c r="P17" s="69"/>
      <c r="Q17" s="71"/>
      <c r="R17" s="77"/>
      <c r="S17" s="69"/>
      <c r="T17" s="69"/>
      <c r="U17" s="71"/>
      <c r="V17" s="77"/>
      <c r="W17" s="69"/>
      <c r="X17" s="69"/>
      <c r="Y17" s="71"/>
      <c r="Z17" s="77"/>
      <c r="AA17" s="73"/>
      <c r="AB17" s="69"/>
      <c r="AC17" s="75"/>
      <c r="AD17" s="21">
        <f t="shared" si="0"/>
        <v>0</v>
      </c>
    </row>
    <row r="18" spans="1:30" x14ac:dyDescent="0.25">
      <c r="A18" s="68"/>
      <c r="B18" s="77"/>
      <c r="C18" s="69"/>
      <c r="D18" s="69"/>
      <c r="E18" s="71"/>
      <c r="F18" s="77"/>
      <c r="G18" s="69"/>
      <c r="H18" s="69"/>
      <c r="I18" s="71"/>
      <c r="J18" s="77"/>
      <c r="K18" s="69"/>
      <c r="L18" s="69"/>
      <c r="M18" s="71"/>
      <c r="N18" s="77"/>
      <c r="O18" s="69"/>
      <c r="P18" s="69"/>
      <c r="Q18" s="71"/>
      <c r="R18" s="77"/>
      <c r="S18" s="69"/>
      <c r="T18" s="69"/>
      <c r="U18" s="71"/>
      <c r="V18" s="77"/>
      <c r="W18" s="69"/>
      <c r="X18" s="69"/>
      <c r="Y18" s="71"/>
      <c r="Z18" s="77"/>
      <c r="AA18" s="73"/>
      <c r="AB18" s="69"/>
      <c r="AC18" s="75"/>
      <c r="AD18" s="21">
        <f t="shared" si="0"/>
        <v>0</v>
      </c>
    </row>
    <row r="19" spans="1:30" x14ac:dyDescent="0.25">
      <c r="A19" s="68"/>
      <c r="B19" s="77"/>
      <c r="C19" s="69"/>
      <c r="D19" s="69"/>
      <c r="E19" s="71"/>
      <c r="F19" s="77"/>
      <c r="G19" s="69"/>
      <c r="H19" s="69"/>
      <c r="I19" s="71"/>
      <c r="J19" s="77"/>
      <c r="K19" s="69"/>
      <c r="L19" s="69"/>
      <c r="M19" s="71"/>
      <c r="N19" s="77"/>
      <c r="O19" s="69"/>
      <c r="P19" s="69"/>
      <c r="Q19" s="71"/>
      <c r="R19" s="77"/>
      <c r="S19" s="69"/>
      <c r="T19" s="69"/>
      <c r="U19" s="71"/>
      <c r="V19" s="77"/>
      <c r="W19" s="69"/>
      <c r="X19" s="69"/>
      <c r="Y19" s="71"/>
      <c r="Z19" s="77"/>
      <c r="AA19" s="73"/>
      <c r="AB19" s="69"/>
      <c r="AC19" s="75"/>
      <c r="AD19" s="21">
        <f t="shared" si="0"/>
        <v>0</v>
      </c>
    </row>
    <row r="20" spans="1:30" x14ac:dyDescent="0.25">
      <c r="A20" s="68"/>
      <c r="B20" s="77"/>
      <c r="C20" s="69"/>
      <c r="D20" s="69"/>
      <c r="E20" s="71"/>
      <c r="F20" s="77"/>
      <c r="G20" s="69"/>
      <c r="H20" s="69"/>
      <c r="I20" s="71"/>
      <c r="J20" s="77"/>
      <c r="K20" s="69"/>
      <c r="L20" s="69"/>
      <c r="M20" s="71"/>
      <c r="N20" s="77"/>
      <c r="O20" s="69"/>
      <c r="P20" s="69"/>
      <c r="Q20" s="71"/>
      <c r="R20" s="77"/>
      <c r="S20" s="69"/>
      <c r="T20" s="69"/>
      <c r="U20" s="71"/>
      <c r="V20" s="77"/>
      <c r="W20" s="69"/>
      <c r="X20" s="69"/>
      <c r="Y20" s="71"/>
      <c r="Z20" s="77"/>
      <c r="AA20" s="73"/>
      <c r="AB20" s="69"/>
      <c r="AC20" s="75"/>
      <c r="AD20" s="21">
        <f t="shared" si="0"/>
        <v>0</v>
      </c>
    </row>
    <row r="21" spans="1:30" x14ac:dyDescent="0.25">
      <c r="A21" s="68"/>
      <c r="B21" s="77"/>
      <c r="C21" s="69"/>
      <c r="D21" s="69"/>
      <c r="E21" s="71"/>
      <c r="F21" s="77"/>
      <c r="G21" s="69"/>
      <c r="H21" s="69"/>
      <c r="I21" s="71"/>
      <c r="J21" s="77"/>
      <c r="K21" s="69"/>
      <c r="L21" s="69"/>
      <c r="M21" s="71"/>
      <c r="N21" s="77"/>
      <c r="O21" s="69"/>
      <c r="P21" s="69"/>
      <c r="Q21" s="71"/>
      <c r="R21" s="77"/>
      <c r="S21" s="69"/>
      <c r="T21" s="69"/>
      <c r="U21" s="71"/>
      <c r="V21" s="77"/>
      <c r="W21" s="69"/>
      <c r="X21" s="69"/>
      <c r="Y21" s="71"/>
      <c r="Z21" s="77"/>
      <c r="AA21" s="73"/>
      <c r="AB21" s="69"/>
      <c r="AC21" s="75"/>
      <c r="AD21" s="21">
        <f t="shared" si="0"/>
        <v>0</v>
      </c>
    </row>
    <row r="22" spans="1:30" x14ac:dyDescent="0.25">
      <c r="A22" s="68"/>
      <c r="B22" s="77"/>
      <c r="C22" s="69"/>
      <c r="D22" s="69"/>
      <c r="E22" s="71"/>
      <c r="F22" s="77"/>
      <c r="G22" s="69"/>
      <c r="H22" s="69"/>
      <c r="I22" s="71"/>
      <c r="J22" s="77"/>
      <c r="K22" s="69"/>
      <c r="L22" s="69"/>
      <c r="M22" s="71"/>
      <c r="N22" s="77"/>
      <c r="O22" s="69"/>
      <c r="P22" s="69"/>
      <c r="Q22" s="71"/>
      <c r="R22" s="77"/>
      <c r="S22" s="69"/>
      <c r="T22" s="69"/>
      <c r="U22" s="71"/>
      <c r="V22" s="77"/>
      <c r="W22" s="69"/>
      <c r="X22" s="69"/>
      <c r="Y22" s="71"/>
      <c r="Z22" s="77"/>
      <c r="AA22" s="73"/>
      <c r="AB22" s="69"/>
      <c r="AC22" s="75"/>
      <c r="AD22" s="21">
        <f t="shared" si="0"/>
        <v>0</v>
      </c>
    </row>
    <row r="23" spans="1:30" x14ac:dyDescent="0.25">
      <c r="A23" s="68"/>
      <c r="B23" s="77"/>
      <c r="C23" s="69"/>
      <c r="D23" s="69"/>
      <c r="E23" s="71"/>
      <c r="F23" s="77"/>
      <c r="G23" s="69"/>
      <c r="H23" s="69"/>
      <c r="I23" s="71"/>
      <c r="J23" s="77"/>
      <c r="K23" s="69"/>
      <c r="L23" s="69"/>
      <c r="M23" s="71"/>
      <c r="N23" s="77"/>
      <c r="O23" s="69"/>
      <c r="P23" s="69"/>
      <c r="Q23" s="71"/>
      <c r="R23" s="77"/>
      <c r="S23" s="69"/>
      <c r="T23" s="69"/>
      <c r="U23" s="71"/>
      <c r="V23" s="77"/>
      <c r="W23" s="69"/>
      <c r="X23" s="69"/>
      <c r="Y23" s="71"/>
      <c r="Z23" s="77"/>
      <c r="AA23" s="73"/>
      <c r="AB23" s="69"/>
      <c r="AC23" s="75"/>
      <c r="AD23" s="21">
        <f t="shared" si="0"/>
        <v>0</v>
      </c>
    </row>
    <row r="24" spans="1:30" x14ac:dyDescent="0.25">
      <c r="A24" s="68"/>
      <c r="B24" s="77"/>
      <c r="C24" s="69"/>
      <c r="D24" s="69"/>
      <c r="E24" s="71"/>
      <c r="F24" s="77"/>
      <c r="G24" s="69"/>
      <c r="H24" s="69"/>
      <c r="I24" s="71"/>
      <c r="J24" s="77"/>
      <c r="K24" s="69"/>
      <c r="L24" s="69"/>
      <c r="M24" s="71"/>
      <c r="N24" s="77"/>
      <c r="O24" s="69"/>
      <c r="P24" s="69"/>
      <c r="Q24" s="71"/>
      <c r="R24" s="77"/>
      <c r="S24" s="69"/>
      <c r="T24" s="69"/>
      <c r="U24" s="71"/>
      <c r="V24" s="77"/>
      <c r="W24" s="69"/>
      <c r="X24" s="69"/>
      <c r="Y24" s="71"/>
      <c r="Z24" s="77"/>
      <c r="AA24" s="73"/>
      <c r="AB24" s="69"/>
      <c r="AC24" s="75"/>
      <c r="AD24" s="21">
        <f t="shared" si="0"/>
        <v>0</v>
      </c>
    </row>
    <row r="25" spans="1:30" x14ac:dyDescent="0.25">
      <c r="A25" s="68"/>
      <c r="B25" s="77"/>
      <c r="C25" s="69"/>
      <c r="D25" s="69"/>
      <c r="E25" s="71"/>
      <c r="F25" s="77"/>
      <c r="G25" s="69"/>
      <c r="H25" s="69"/>
      <c r="I25" s="71"/>
      <c r="J25" s="77"/>
      <c r="K25" s="69"/>
      <c r="L25" s="69"/>
      <c r="M25" s="71"/>
      <c r="N25" s="77"/>
      <c r="O25" s="69"/>
      <c r="P25" s="69"/>
      <c r="Q25" s="71"/>
      <c r="R25" s="77"/>
      <c r="S25" s="69"/>
      <c r="T25" s="69"/>
      <c r="U25" s="71"/>
      <c r="V25" s="77"/>
      <c r="W25" s="69"/>
      <c r="X25" s="69"/>
      <c r="Y25" s="71"/>
      <c r="Z25" s="77"/>
      <c r="AA25" s="73"/>
      <c r="AB25" s="69"/>
      <c r="AC25" s="75"/>
      <c r="AD25" s="21">
        <f t="shared" si="0"/>
        <v>0</v>
      </c>
    </row>
    <row r="26" spans="1:30" x14ac:dyDescent="0.25">
      <c r="A26" s="68"/>
      <c r="B26" s="77"/>
      <c r="C26" s="69"/>
      <c r="D26" s="69"/>
      <c r="E26" s="71"/>
      <c r="F26" s="77"/>
      <c r="G26" s="69"/>
      <c r="H26" s="69"/>
      <c r="I26" s="71"/>
      <c r="J26" s="77"/>
      <c r="K26" s="69"/>
      <c r="L26" s="69"/>
      <c r="M26" s="71"/>
      <c r="N26" s="77"/>
      <c r="O26" s="69"/>
      <c r="P26" s="69"/>
      <c r="Q26" s="71"/>
      <c r="R26" s="77"/>
      <c r="S26" s="69"/>
      <c r="T26" s="69"/>
      <c r="U26" s="71"/>
      <c r="V26" s="77"/>
      <c r="W26" s="69"/>
      <c r="X26" s="69"/>
      <c r="Y26" s="71"/>
      <c r="Z26" s="77"/>
      <c r="AA26" s="73"/>
      <c r="AB26" s="69"/>
      <c r="AC26" s="75"/>
      <c r="AD26" s="21">
        <f t="shared" si="0"/>
        <v>0</v>
      </c>
    </row>
    <row r="27" spans="1:30" x14ac:dyDescent="0.25">
      <c r="A27" s="68"/>
      <c r="B27" s="77"/>
      <c r="C27" s="69"/>
      <c r="D27" s="69"/>
      <c r="E27" s="71"/>
      <c r="F27" s="77"/>
      <c r="G27" s="69"/>
      <c r="H27" s="69"/>
      <c r="I27" s="71"/>
      <c r="J27" s="77"/>
      <c r="K27" s="69"/>
      <c r="L27" s="69"/>
      <c r="M27" s="71"/>
      <c r="N27" s="77"/>
      <c r="O27" s="69"/>
      <c r="P27" s="69"/>
      <c r="Q27" s="71"/>
      <c r="R27" s="77"/>
      <c r="S27" s="69"/>
      <c r="T27" s="69"/>
      <c r="U27" s="71"/>
      <c r="V27" s="77"/>
      <c r="W27" s="69"/>
      <c r="X27" s="69"/>
      <c r="Y27" s="71"/>
      <c r="Z27" s="77"/>
      <c r="AA27" s="73"/>
      <c r="AB27" s="69"/>
      <c r="AC27" s="75"/>
      <c r="AD27" s="21">
        <f t="shared" si="0"/>
        <v>0</v>
      </c>
    </row>
    <row r="28" spans="1:30" x14ac:dyDescent="0.25">
      <c r="A28" s="68"/>
      <c r="B28" s="77"/>
      <c r="C28" s="69"/>
      <c r="D28" s="69"/>
      <c r="E28" s="71"/>
      <c r="F28" s="77"/>
      <c r="G28" s="69"/>
      <c r="H28" s="69"/>
      <c r="I28" s="71"/>
      <c r="J28" s="77"/>
      <c r="K28" s="69"/>
      <c r="L28" s="69"/>
      <c r="M28" s="71"/>
      <c r="N28" s="77"/>
      <c r="O28" s="69"/>
      <c r="P28" s="69"/>
      <c r="Q28" s="71"/>
      <c r="R28" s="77"/>
      <c r="S28" s="69"/>
      <c r="T28" s="69"/>
      <c r="U28" s="71"/>
      <c r="V28" s="77"/>
      <c r="W28" s="69"/>
      <c r="X28" s="69"/>
      <c r="Y28" s="71"/>
      <c r="Z28" s="77"/>
      <c r="AA28" s="73"/>
      <c r="AB28" s="69"/>
      <c r="AC28" s="75"/>
      <c r="AD28" s="21">
        <f t="shared" si="0"/>
        <v>0</v>
      </c>
    </row>
    <row r="29" spans="1:30" ht="15.75" thickBot="1" x14ac:dyDescent="0.3">
      <c r="A29" s="68"/>
      <c r="B29" s="78"/>
      <c r="C29" s="70"/>
      <c r="D29" s="70"/>
      <c r="E29" s="72"/>
      <c r="F29" s="78"/>
      <c r="G29" s="70"/>
      <c r="H29" s="70"/>
      <c r="I29" s="72"/>
      <c r="J29" s="78"/>
      <c r="K29" s="70"/>
      <c r="L29" s="70"/>
      <c r="M29" s="72"/>
      <c r="N29" s="78"/>
      <c r="O29" s="70"/>
      <c r="P29" s="70"/>
      <c r="Q29" s="72"/>
      <c r="R29" s="78"/>
      <c r="S29" s="70"/>
      <c r="T29" s="70"/>
      <c r="U29" s="72"/>
      <c r="V29" s="78"/>
      <c r="W29" s="70"/>
      <c r="X29" s="70"/>
      <c r="Y29" s="72"/>
      <c r="Z29" s="78"/>
      <c r="AA29" s="74"/>
      <c r="AB29" s="70"/>
      <c r="AC29" s="76"/>
      <c r="AD29" s="22">
        <f t="shared" si="0"/>
        <v>0</v>
      </c>
    </row>
    <row r="30" spans="1:30" x14ac:dyDescent="0.25">
      <c r="A30" s="1"/>
      <c r="B30" s="1"/>
      <c r="C30" s="1">
        <f>SUM(C13:C29)</f>
        <v>0</v>
      </c>
      <c r="D30" s="1"/>
      <c r="E30" s="1">
        <f>SUM(E13:E29)</f>
        <v>0</v>
      </c>
      <c r="F30" s="1"/>
      <c r="G30" s="1">
        <f>SUM(G13:G29)</f>
        <v>0</v>
      </c>
      <c r="H30" s="1"/>
      <c r="I30" s="1">
        <f>SUM(I13:I29)</f>
        <v>0</v>
      </c>
      <c r="J30" s="1"/>
      <c r="K30" s="1">
        <f>SUM(K13:K29)</f>
        <v>0</v>
      </c>
      <c r="L30" s="1"/>
      <c r="M30" s="1">
        <f>SUM(M13:M29)</f>
        <v>2</v>
      </c>
      <c r="N30" s="1"/>
      <c r="O30" s="1">
        <f>SUM(O13:O29)</f>
        <v>0</v>
      </c>
      <c r="P30" s="1"/>
      <c r="Q30" s="1">
        <f>SUM(Q13:Q29)</f>
        <v>0</v>
      </c>
      <c r="R30" s="1"/>
      <c r="S30" s="1">
        <f>SUM(S13:S29)</f>
        <v>0</v>
      </c>
      <c r="T30" s="1"/>
      <c r="U30" s="1">
        <f>SUM(U13:U29)</f>
        <v>0</v>
      </c>
      <c r="V30" s="1"/>
      <c r="W30" s="1">
        <f>SUM(W13:W29)</f>
        <v>0</v>
      </c>
      <c r="X30" s="1"/>
      <c r="Y30" s="1">
        <f>SUM(Y13:Y29)</f>
        <v>0</v>
      </c>
      <c r="Z30" s="1"/>
      <c r="AA30" s="1">
        <f>SUM(AA13:AA29)</f>
        <v>0</v>
      </c>
      <c r="AB30" s="1"/>
      <c r="AC30" s="1">
        <f>SUM(AC13:AC29)</f>
        <v>0</v>
      </c>
      <c r="AD30" s="18">
        <f t="shared" si="0"/>
        <v>2</v>
      </c>
    </row>
  </sheetData>
  <sheetProtection sheet="1" objects="1" scenarios="1" selectLockedCells="1"/>
  <mergeCells count="8">
    <mergeCell ref="V10:X10"/>
    <mergeCell ref="Z10:AB10"/>
    <mergeCell ref="B3:F3"/>
    <mergeCell ref="B10:D10"/>
    <mergeCell ref="F10:H10"/>
    <mergeCell ref="J10:L10"/>
    <mergeCell ref="N10:P10"/>
    <mergeCell ref="R10:T10"/>
  </mergeCells>
  <dataValidations count="2">
    <dataValidation type="list" allowBlank="1" showInputMessage="1" showErrorMessage="1" sqref="A13:A29">
      <formula1>equipe</formula1>
    </dataValidation>
    <dataValidation type="list" allowBlank="1" showInputMessage="1" showErrorMessage="1" sqref="B13:B29 H13:H29 L13:L29 P13:P29 T13:T29 X13:X29 D13:D29 F13:F29 J13:J29 N13:N29 R13:R29 V13:V29 Z13:Z29 AB13:AB29">
      <formula1>taches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outon 2">
              <controlPr defaultSize="0" print="0" autoFill="0" autoPict="0" macro="[0]!Recherche_tache">
                <anchor moveWithCells="1" sizeWithCells="1">
                  <from>
                    <xdr:col>11</xdr:col>
                    <xdr:colOff>9525</xdr:colOff>
                    <xdr:row>6</xdr:row>
                    <xdr:rowOff>171450</xdr:rowOff>
                  </from>
                  <to>
                    <xdr:col>11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A1:AD30"/>
  <sheetViews>
    <sheetView topLeftCell="A4" workbookViewId="0">
      <selection activeCell="A13" sqref="A13"/>
    </sheetView>
  </sheetViews>
  <sheetFormatPr baseColWidth="10" defaultRowHeight="15" x14ac:dyDescent="0.25"/>
  <cols>
    <col min="2" max="2" width="11.7109375" customWidth="1"/>
    <col min="3" max="3" width="3.85546875" customWidth="1"/>
    <col min="4" max="4" width="11.7109375" customWidth="1"/>
    <col min="5" max="5" width="3.85546875" customWidth="1"/>
    <col min="6" max="6" width="11.7109375" customWidth="1"/>
    <col min="7" max="7" width="3.85546875" customWidth="1"/>
    <col min="8" max="8" width="11.7109375" customWidth="1"/>
    <col min="9" max="9" width="3.85546875" customWidth="1"/>
    <col min="10" max="10" width="11.7109375" customWidth="1"/>
    <col min="11" max="11" width="3.85546875" customWidth="1"/>
    <col min="12" max="12" width="11.7109375" customWidth="1"/>
    <col min="13" max="13" width="3.85546875" customWidth="1"/>
    <col min="14" max="14" width="11.7109375" customWidth="1"/>
    <col min="15" max="15" width="3.85546875" customWidth="1"/>
    <col min="16" max="16" width="11.7109375" customWidth="1"/>
    <col min="17" max="17" width="3.85546875" customWidth="1"/>
    <col min="18" max="18" width="11.7109375" customWidth="1"/>
    <col min="19" max="19" width="3.85546875" customWidth="1"/>
    <col min="20" max="20" width="11.7109375" customWidth="1"/>
    <col min="21" max="21" width="3.85546875" customWidth="1"/>
    <col min="22" max="22" width="11.7109375" customWidth="1"/>
    <col min="23" max="23" width="3.85546875" customWidth="1"/>
    <col min="24" max="24" width="11.7109375" customWidth="1"/>
    <col min="25" max="25" width="3.85546875" customWidth="1"/>
    <col min="26" max="26" width="11.7109375" customWidth="1"/>
    <col min="27" max="27" width="4.42578125" customWidth="1"/>
    <col min="28" max="28" width="11.140625" customWidth="1"/>
    <col min="29" max="29" width="4.42578125" customWidth="1"/>
    <col min="30" max="30" width="6.7109375" customWidth="1"/>
  </cols>
  <sheetData>
    <row r="1" spans="1:30" ht="15.75" thickBot="1" x14ac:dyDescent="0.3">
      <c r="A1" s="1"/>
      <c r="B1" s="43" t="s">
        <v>5</v>
      </c>
      <c r="C1" s="44">
        <v>10</v>
      </c>
      <c r="D1" s="45" t="s">
        <v>7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3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30" x14ac:dyDescent="0.25">
      <c r="A3" s="1"/>
      <c r="B3" s="83" t="s">
        <v>20</v>
      </c>
      <c r="C3" s="83"/>
      <c r="D3" s="83"/>
      <c r="E3" s="83"/>
      <c r="F3" s="83"/>
      <c r="G3" s="46">
        <f>E10+I10+M10+Q10+U10+Y10+AC10</f>
        <v>0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30" x14ac:dyDescent="0.25">
      <c r="A4" s="1"/>
      <c r="B4" s="47"/>
      <c r="C4" s="47"/>
      <c r="D4" s="47"/>
      <c r="E4" s="47"/>
      <c r="F4" s="48" t="str">
        <f>Resume!A5</f>
        <v>Adrien</v>
      </c>
      <c r="G4" s="48">
        <v>0</v>
      </c>
      <c r="H4" s="1"/>
      <c r="I4" s="1"/>
      <c r="J4" s="1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30" x14ac:dyDescent="0.25">
      <c r="A5" s="1"/>
      <c r="B5" s="47"/>
      <c r="C5" s="47"/>
      <c r="D5" s="47"/>
      <c r="E5" s="47"/>
      <c r="F5" s="48" t="str">
        <f>Resume!A6</f>
        <v>Abdoulaye</v>
      </c>
      <c r="G5" s="48">
        <v>0</v>
      </c>
      <c r="H5" s="1"/>
      <c r="I5" s="1"/>
      <c r="J5" s="1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30" x14ac:dyDescent="0.25">
      <c r="A6" s="1"/>
      <c r="B6" s="47"/>
      <c r="C6" s="47"/>
      <c r="D6" s="47"/>
      <c r="E6" s="47"/>
      <c r="F6" s="48" t="str">
        <f>Resume!A7</f>
        <v>Shawez</v>
      </c>
      <c r="G6" s="48">
        <v>0</v>
      </c>
      <c r="H6" s="1"/>
      <c r="I6" s="1"/>
      <c r="J6" s="1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30" x14ac:dyDescent="0.25">
      <c r="A7" s="1"/>
      <c r="B7" s="49"/>
      <c r="C7" s="49"/>
      <c r="D7" s="49"/>
      <c r="E7" s="49"/>
      <c r="F7" s="48" t="str">
        <f>Resume!A8</f>
        <v>Nadir</v>
      </c>
      <c r="G7" s="48">
        <v>0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30" x14ac:dyDescent="0.25">
      <c r="A8" s="1"/>
      <c r="B8" s="49"/>
      <c r="C8" s="49"/>
      <c r="D8" s="49"/>
      <c r="E8" s="49"/>
      <c r="F8" s="48" t="str">
        <f>Resume!A9</f>
        <v>L'équipe</v>
      </c>
      <c r="G8" s="48">
        <v>0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30" ht="15.75" thickBot="1" x14ac:dyDescent="0.3">
      <c r="A9" s="1"/>
      <c r="B9" s="1"/>
      <c r="C9" s="1"/>
      <c r="D9" s="1"/>
      <c r="E9" s="1"/>
      <c r="F9" s="1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30" ht="30" x14ac:dyDescent="0.25">
      <c r="A10" s="12" t="s">
        <v>24</v>
      </c>
      <c r="B10" s="84" t="s">
        <v>25</v>
      </c>
      <c r="C10" s="85"/>
      <c r="D10" s="86"/>
      <c r="E10" s="16">
        <f>C30+E30</f>
        <v>0</v>
      </c>
      <c r="F10" s="84" t="s">
        <v>26</v>
      </c>
      <c r="G10" s="85"/>
      <c r="H10" s="86"/>
      <c r="I10" s="16">
        <f>G30+I30</f>
        <v>0</v>
      </c>
      <c r="J10" s="80" t="s">
        <v>27</v>
      </c>
      <c r="K10" s="81"/>
      <c r="L10" s="82"/>
      <c r="M10" s="16">
        <f>K30+M30</f>
        <v>0</v>
      </c>
      <c r="N10" s="80" t="s">
        <v>28</v>
      </c>
      <c r="O10" s="81"/>
      <c r="P10" s="82"/>
      <c r="Q10" s="16">
        <f>O30+Q30</f>
        <v>0</v>
      </c>
      <c r="R10" s="80" t="s">
        <v>29</v>
      </c>
      <c r="S10" s="81"/>
      <c r="T10" s="82"/>
      <c r="U10" s="16">
        <f>S30+U30</f>
        <v>0</v>
      </c>
      <c r="V10" s="80" t="s">
        <v>30</v>
      </c>
      <c r="W10" s="81"/>
      <c r="X10" s="82"/>
      <c r="Y10" s="16">
        <f>W30+Y30</f>
        <v>0</v>
      </c>
      <c r="Z10" s="80" t="s">
        <v>31</v>
      </c>
      <c r="AA10" s="81"/>
      <c r="AB10" s="82"/>
      <c r="AC10" s="16">
        <f>AA30+AC30</f>
        <v>0</v>
      </c>
      <c r="AD10" s="19"/>
    </row>
    <row r="11" spans="1:30" x14ac:dyDescent="0.25">
      <c r="A11" s="13"/>
      <c r="B11" s="14">
        <f>Resume!D1+($C$1-1)*7</f>
        <v>43118</v>
      </c>
      <c r="C11" s="6"/>
      <c r="D11" s="7"/>
      <c r="E11" s="17"/>
      <c r="F11" s="14">
        <f>B11+1</f>
        <v>43119</v>
      </c>
      <c r="G11" s="6"/>
      <c r="H11" s="7"/>
      <c r="I11" s="15"/>
      <c r="J11" s="14">
        <f>F11+1</f>
        <v>43120</v>
      </c>
      <c r="K11" s="6"/>
      <c r="L11" s="7"/>
      <c r="M11" s="15"/>
      <c r="N11" s="14">
        <f>J11+1</f>
        <v>43121</v>
      </c>
      <c r="O11" s="6"/>
      <c r="P11" s="7"/>
      <c r="Q11" s="15"/>
      <c r="R11" s="14">
        <f>N11+1</f>
        <v>43122</v>
      </c>
      <c r="S11" s="6"/>
      <c r="T11" s="7"/>
      <c r="U11" s="15"/>
      <c r="V11" s="14">
        <f>R11+1</f>
        <v>43123</v>
      </c>
      <c r="W11" s="6"/>
      <c r="X11" s="7"/>
      <c r="Y11" s="15"/>
      <c r="Z11" s="14">
        <f>V11+1</f>
        <v>43124</v>
      </c>
      <c r="AA11" s="9"/>
      <c r="AB11" s="7"/>
      <c r="AC11" s="10"/>
      <c r="AD11" s="20" t="s">
        <v>22</v>
      </c>
    </row>
    <row r="12" spans="1:30" s="8" customFormat="1" ht="30" x14ac:dyDescent="0.25">
      <c r="A12" s="36" t="s">
        <v>4</v>
      </c>
      <c r="B12" s="37" t="s">
        <v>33</v>
      </c>
      <c r="C12" s="38" t="s">
        <v>16</v>
      </c>
      <c r="D12" s="38" t="s">
        <v>34</v>
      </c>
      <c r="E12" s="39" t="s">
        <v>16</v>
      </c>
      <c r="F12" s="37" t="s">
        <v>35</v>
      </c>
      <c r="G12" s="38" t="s">
        <v>16</v>
      </c>
      <c r="H12" s="38" t="s">
        <v>36</v>
      </c>
      <c r="I12" s="39" t="s">
        <v>16</v>
      </c>
      <c r="J12" s="37" t="s">
        <v>8</v>
      </c>
      <c r="K12" s="38" t="s">
        <v>16</v>
      </c>
      <c r="L12" s="38" t="s">
        <v>9</v>
      </c>
      <c r="M12" s="39" t="s">
        <v>16</v>
      </c>
      <c r="N12" s="37" t="s">
        <v>37</v>
      </c>
      <c r="O12" s="38" t="s">
        <v>16</v>
      </c>
      <c r="P12" s="38" t="s">
        <v>38</v>
      </c>
      <c r="Q12" s="39" t="s">
        <v>16</v>
      </c>
      <c r="R12" s="37" t="s">
        <v>10</v>
      </c>
      <c r="S12" s="38" t="s">
        <v>16</v>
      </c>
      <c r="T12" s="38" t="s">
        <v>11</v>
      </c>
      <c r="U12" s="39" t="s">
        <v>16</v>
      </c>
      <c r="V12" s="37" t="s">
        <v>12</v>
      </c>
      <c r="W12" s="38" t="s">
        <v>16</v>
      </c>
      <c r="X12" s="38" t="s">
        <v>13</v>
      </c>
      <c r="Y12" s="39" t="s">
        <v>16</v>
      </c>
      <c r="Z12" s="37" t="s">
        <v>14</v>
      </c>
      <c r="AA12" s="40" t="s">
        <v>16</v>
      </c>
      <c r="AB12" s="38" t="s">
        <v>15</v>
      </c>
      <c r="AC12" s="41" t="s">
        <v>16</v>
      </c>
      <c r="AD12" s="42" t="s">
        <v>16</v>
      </c>
    </row>
    <row r="13" spans="1:30" x14ac:dyDescent="0.25">
      <c r="A13" s="68"/>
      <c r="B13" s="77"/>
      <c r="C13" s="69"/>
      <c r="D13" s="69"/>
      <c r="E13" s="71"/>
      <c r="F13" s="77"/>
      <c r="G13" s="69"/>
      <c r="H13" s="69"/>
      <c r="I13" s="71"/>
      <c r="J13" s="77"/>
      <c r="K13" s="69"/>
      <c r="L13" s="69"/>
      <c r="M13" s="71"/>
      <c r="N13" s="77"/>
      <c r="O13" s="69"/>
      <c r="P13" s="69"/>
      <c r="Q13" s="71"/>
      <c r="R13" s="77"/>
      <c r="S13" s="69"/>
      <c r="T13" s="69"/>
      <c r="U13" s="71"/>
      <c r="V13" s="77"/>
      <c r="W13" s="69"/>
      <c r="X13" s="69"/>
      <c r="Y13" s="71"/>
      <c r="Z13" s="77"/>
      <c r="AA13" s="73"/>
      <c r="AB13" s="69"/>
      <c r="AC13" s="75"/>
      <c r="AD13" s="21">
        <f>C13+E13+G13+I13+K13+M13+O13+Q13+S13+U13+W13+Y13+AA13+AC13</f>
        <v>0</v>
      </c>
    </row>
    <row r="14" spans="1:30" x14ac:dyDescent="0.25">
      <c r="A14" s="68"/>
      <c r="B14" s="77"/>
      <c r="C14" s="69"/>
      <c r="D14" s="69"/>
      <c r="E14" s="71"/>
      <c r="F14" s="77"/>
      <c r="G14" s="69"/>
      <c r="H14" s="69"/>
      <c r="I14" s="71"/>
      <c r="J14" s="77"/>
      <c r="K14" s="69"/>
      <c r="L14" s="69"/>
      <c r="M14" s="71"/>
      <c r="N14" s="77"/>
      <c r="O14" s="69"/>
      <c r="P14" s="69"/>
      <c r="Q14" s="71"/>
      <c r="R14" s="77"/>
      <c r="S14" s="69"/>
      <c r="T14" s="69"/>
      <c r="U14" s="71"/>
      <c r="V14" s="77"/>
      <c r="W14" s="69"/>
      <c r="X14" s="69"/>
      <c r="Y14" s="71"/>
      <c r="Z14" s="77"/>
      <c r="AA14" s="73"/>
      <c r="AB14" s="69"/>
      <c r="AC14" s="75"/>
      <c r="AD14" s="21">
        <f>C14+E14+G14+I14+K14+M14+O14+Q14+S14+U14+W14+Y14+AA14+AC14</f>
        <v>0</v>
      </c>
    </row>
    <row r="15" spans="1:30" x14ac:dyDescent="0.25">
      <c r="A15" s="68"/>
      <c r="B15" s="77"/>
      <c r="C15" s="69"/>
      <c r="D15" s="69"/>
      <c r="E15" s="71"/>
      <c r="F15" s="77"/>
      <c r="G15" s="69"/>
      <c r="H15" s="69"/>
      <c r="I15" s="71"/>
      <c r="J15" s="77"/>
      <c r="K15" s="69"/>
      <c r="L15" s="69"/>
      <c r="M15" s="71"/>
      <c r="N15" s="77"/>
      <c r="O15" s="69"/>
      <c r="P15" s="69"/>
      <c r="Q15" s="71"/>
      <c r="R15" s="77"/>
      <c r="S15" s="69"/>
      <c r="T15" s="69"/>
      <c r="U15" s="71"/>
      <c r="V15" s="77"/>
      <c r="W15" s="69"/>
      <c r="X15" s="69"/>
      <c r="Y15" s="71"/>
      <c r="Z15" s="77"/>
      <c r="AA15" s="73"/>
      <c r="AB15" s="69"/>
      <c r="AC15" s="75"/>
      <c r="AD15" s="21">
        <f t="shared" ref="AD15:AD30" si="0">C15+E15+G15+I15+K15+M15+O15+Q15+S15+U15+W15+Y15+AA15+AC15</f>
        <v>0</v>
      </c>
    </row>
    <row r="16" spans="1:30" x14ac:dyDescent="0.25">
      <c r="A16" s="68"/>
      <c r="B16" s="77"/>
      <c r="C16" s="69"/>
      <c r="D16" s="69"/>
      <c r="E16" s="71"/>
      <c r="F16" s="77"/>
      <c r="G16" s="69"/>
      <c r="H16" s="69"/>
      <c r="I16" s="71"/>
      <c r="J16" s="77"/>
      <c r="K16" s="69"/>
      <c r="L16" s="69"/>
      <c r="M16" s="71"/>
      <c r="N16" s="77"/>
      <c r="O16" s="69"/>
      <c r="P16" s="69"/>
      <c r="Q16" s="71"/>
      <c r="R16" s="77"/>
      <c r="S16" s="69"/>
      <c r="T16" s="69"/>
      <c r="U16" s="71"/>
      <c r="V16" s="77"/>
      <c r="W16" s="69"/>
      <c r="X16" s="69"/>
      <c r="Y16" s="71"/>
      <c r="Z16" s="77"/>
      <c r="AA16" s="69"/>
      <c r="AB16" s="69"/>
      <c r="AC16" s="71"/>
      <c r="AD16" s="21">
        <f t="shared" si="0"/>
        <v>0</v>
      </c>
    </row>
    <row r="17" spans="1:30" x14ac:dyDescent="0.25">
      <c r="A17" s="68"/>
      <c r="B17" s="77"/>
      <c r="C17" s="69"/>
      <c r="D17" s="69"/>
      <c r="E17" s="71"/>
      <c r="F17" s="77"/>
      <c r="G17" s="69"/>
      <c r="H17" s="69"/>
      <c r="I17" s="71"/>
      <c r="J17" s="77"/>
      <c r="K17" s="69"/>
      <c r="L17" s="69"/>
      <c r="M17" s="71"/>
      <c r="N17" s="77"/>
      <c r="O17" s="69"/>
      <c r="P17" s="69"/>
      <c r="Q17" s="71"/>
      <c r="R17" s="77"/>
      <c r="S17" s="69"/>
      <c r="T17" s="69"/>
      <c r="U17" s="71"/>
      <c r="V17" s="77"/>
      <c r="W17" s="69"/>
      <c r="X17" s="69"/>
      <c r="Y17" s="71"/>
      <c r="Z17" s="77"/>
      <c r="AA17" s="73"/>
      <c r="AB17" s="69"/>
      <c r="AC17" s="75"/>
      <c r="AD17" s="21">
        <f t="shared" si="0"/>
        <v>0</v>
      </c>
    </row>
    <row r="18" spans="1:30" x14ac:dyDescent="0.25">
      <c r="A18" s="68"/>
      <c r="B18" s="77"/>
      <c r="C18" s="69"/>
      <c r="D18" s="69"/>
      <c r="E18" s="71"/>
      <c r="F18" s="77"/>
      <c r="G18" s="69"/>
      <c r="H18" s="69"/>
      <c r="I18" s="71"/>
      <c r="J18" s="77"/>
      <c r="K18" s="69"/>
      <c r="L18" s="69"/>
      <c r="M18" s="71"/>
      <c r="N18" s="77"/>
      <c r="O18" s="69"/>
      <c r="P18" s="69"/>
      <c r="Q18" s="71"/>
      <c r="R18" s="77"/>
      <c r="S18" s="69"/>
      <c r="T18" s="69"/>
      <c r="U18" s="71"/>
      <c r="V18" s="77"/>
      <c r="W18" s="69"/>
      <c r="X18" s="69"/>
      <c r="Y18" s="71"/>
      <c r="Z18" s="77"/>
      <c r="AA18" s="73"/>
      <c r="AB18" s="69"/>
      <c r="AC18" s="75"/>
      <c r="AD18" s="21">
        <f t="shared" si="0"/>
        <v>0</v>
      </c>
    </row>
    <row r="19" spans="1:30" x14ac:dyDescent="0.25">
      <c r="A19" s="68"/>
      <c r="B19" s="77"/>
      <c r="C19" s="69"/>
      <c r="D19" s="69"/>
      <c r="E19" s="71"/>
      <c r="F19" s="77"/>
      <c r="G19" s="69"/>
      <c r="H19" s="69"/>
      <c r="I19" s="71"/>
      <c r="J19" s="77"/>
      <c r="K19" s="69"/>
      <c r="L19" s="69"/>
      <c r="M19" s="71"/>
      <c r="N19" s="77"/>
      <c r="O19" s="69"/>
      <c r="P19" s="69"/>
      <c r="Q19" s="71"/>
      <c r="R19" s="77"/>
      <c r="S19" s="69"/>
      <c r="T19" s="69"/>
      <c r="U19" s="71"/>
      <c r="V19" s="77"/>
      <c r="W19" s="69"/>
      <c r="X19" s="69"/>
      <c r="Y19" s="71"/>
      <c r="Z19" s="77"/>
      <c r="AA19" s="73"/>
      <c r="AB19" s="69"/>
      <c r="AC19" s="75"/>
      <c r="AD19" s="21">
        <f t="shared" si="0"/>
        <v>0</v>
      </c>
    </row>
    <row r="20" spans="1:30" x14ac:dyDescent="0.25">
      <c r="A20" s="68"/>
      <c r="B20" s="77"/>
      <c r="C20" s="69"/>
      <c r="D20" s="69"/>
      <c r="E20" s="71"/>
      <c r="F20" s="77"/>
      <c r="G20" s="69"/>
      <c r="H20" s="69"/>
      <c r="I20" s="71"/>
      <c r="J20" s="77"/>
      <c r="K20" s="69"/>
      <c r="L20" s="69"/>
      <c r="M20" s="71"/>
      <c r="N20" s="77"/>
      <c r="O20" s="69"/>
      <c r="P20" s="69"/>
      <c r="Q20" s="71"/>
      <c r="R20" s="77"/>
      <c r="S20" s="69"/>
      <c r="T20" s="69"/>
      <c r="U20" s="71"/>
      <c r="V20" s="77"/>
      <c r="W20" s="69"/>
      <c r="X20" s="69"/>
      <c r="Y20" s="71"/>
      <c r="Z20" s="77"/>
      <c r="AA20" s="73"/>
      <c r="AB20" s="69"/>
      <c r="AC20" s="75"/>
      <c r="AD20" s="21">
        <f t="shared" si="0"/>
        <v>0</v>
      </c>
    </row>
    <row r="21" spans="1:30" x14ac:dyDescent="0.25">
      <c r="A21" s="68"/>
      <c r="B21" s="77"/>
      <c r="C21" s="69"/>
      <c r="D21" s="69"/>
      <c r="E21" s="71"/>
      <c r="F21" s="77"/>
      <c r="G21" s="69"/>
      <c r="H21" s="69"/>
      <c r="I21" s="71"/>
      <c r="J21" s="77"/>
      <c r="K21" s="69"/>
      <c r="L21" s="69"/>
      <c r="M21" s="71"/>
      <c r="N21" s="77"/>
      <c r="O21" s="69"/>
      <c r="P21" s="69"/>
      <c r="Q21" s="71"/>
      <c r="R21" s="77"/>
      <c r="S21" s="69"/>
      <c r="T21" s="69"/>
      <c r="U21" s="71"/>
      <c r="V21" s="77"/>
      <c r="W21" s="69"/>
      <c r="X21" s="69"/>
      <c r="Y21" s="71"/>
      <c r="Z21" s="77"/>
      <c r="AA21" s="73"/>
      <c r="AB21" s="69"/>
      <c r="AC21" s="75"/>
      <c r="AD21" s="21">
        <f t="shared" si="0"/>
        <v>0</v>
      </c>
    </row>
    <row r="22" spans="1:30" x14ac:dyDescent="0.25">
      <c r="A22" s="68"/>
      <c r="B22" s="77"/>
      <c r="C22" s="69"/>
      <c r="D22" s="69"/>
      <c r="E22" s="71"/>
      <c r="F22" s="77"/>
      <c r="G22" s="69"/>
      <c r="H22" s="69"/>
      <c r="I22" s="71"/>
      <c r="J22" s="77"/>
      <c r="K22" s="69"/>
      <c r="L22" s="69"/>
      <c r="M22" s="71"/>
      <c r="N22" s="77"/>
      <c r="O22" s="69"/>
      <c r="P22" s="69"/>
      <c r="Q22" s="71"/>
      <c r="R22" s="77"/>
      <c r="S22" s="69"/>
      <c r="T22" s="69"/>
      <c r="U22" s="71"/>
      <c r="V22" s="77"/>
      <c r="W22" s="69"/>
      <c r="X22" s="69"/>
      <c r="Y22" s="71"/>
      <c r="Z22" s="77"/>
      <c r="AA22" s="73"/>
      <c r="AB22" s="69"/>
      <c r="AC22" s="75"/>
      <c r="AD22" s="21">
        <f t="shared" si="0"/>
        <v>0</v>
      </c>
    </row>
    <row r="23" spans="1:30" x14ac:dyDescent="0.25">
      <c r="A23" s="68"/>
      <c r="B23" s="77"/>
      <c r="C23" s="69"/>
      <c r="D23" s="69"/>
      <c r="E23" s="71"/>
      <c r="F23" s="77"/>
      <c r="G23" s="69"/>
      <c r="H23" s="69"/>
      <c r="I23" s="71"/>
      <c r="J23" s="77"/>
      <c r="K23" s="69"/>
      <c r="L23" s="69"/>
      <c r="M23" s="71"/>
      <c r="N23" s="77"/>
      <c r="O23" s="69"/>
      <c r="P23" s="69"/>
      <c r="Q23" s="71"/>
      <c r="R23" s="77"/>
      <c r="S23" s="69"/>
      <c r="T23" s="69"/>
      <c r="U23" s="71"/>
      <c r="V23" s="77"/>
      <c r="W23" s="69"/>
      <c r="X23" s="69"/>
      <c r="Y23" s="71"/>
      <c r="Z23" s="77"/>
      <c r="AA23" s="73"/>
      <c r="AB23" s="69"/>
      <c r="AC23" s="75"/>
      <c r="AD23" s="21">
        <f t="shared" si="0"/>
        <v>0</v>
      </c>
    </row>
    <row r="24" spans="1:30" x14ac:dyDescent="0.25">
      <c r="A24" s="68"/>
      <c r="B24" s="77"/>
      <c r="C24" s="69"/>
      <c r="D24" s="69"/>
      <c r="E24" s="71"/>
      <c r="F24" s="77"/>
      <c r="G24" s="69"/>
      <c r="H24" s="69"/>
      <c r="I24" s="71"/>
      <c r="J24" s="77"/>
      <c r="K24" s="69"/>
      <c r="L24" s="69"/>
      <c r="M24" s="71"/>
      <c r="N24" s="77"/>
      <c r="O24" s="69"/>
      <c r="P24" s="69"/>
      <c r="Q24" s="71"/>
      <c r="R24" s="77"/>
      <c r="S24" s="69"/>
      <c r="T24" s="69"/>
      <c r="U24" s="71"/>
      <c r="V24" s="77"/>
      <c r="W24" s="69"/>
      <c r="X24" s="69"/>
      <c r="Y24" s="71"/>
      <c r="Z24" s="77"/>
      <c r="AA24" s="73"/>
      <c r="AB24" s="69"/>
      <c r="AC24" s="75"/>
      <c r="AD24" s="21">
        <f t="shared" si="0"/>
        <v>0</v>
      </c>
    </row>
    <row r="25" spans="1:30" x14ac:dyDescent="0.25">
      <c r="A25" s="68"/>
      <c r="B25" s="77"/>
      <c r="C25" s="69"/>
      <c r="D25" s="69"/>
      <c r="E25" s="71"/>
      <c r="F25" s="77"/>
      <c r="G25" s="69"/>
      <c r="H25" s="69"/>
      <c r="I25" s="71"/>
      <c r="J25" s="77"/>
      <c r="K25" s="69"/>
      <c r="L25" s="69"/>
      <c r="M25" s="71"/>
      <c r="N25" s="77"/>
      <c r="O25" s="69"/>
      <c r="P25" s="69"/>
      <c r="Q25" s="71"/>
      <c r="R25" s="77"/>
      <c r="S25" s="69"/>
      <c r="T25" s="69"/>
      <c r="U25" s="71"/>
      <c r="V25" s="77"/>
      <c r="W25" s="69"/>
      <c r="X25" s="69"/>
      <c r="Y25" s="71"/>
      <c r="Z25" s="77"/>
      <c r="AA25" s="73"/>
      <c r="AB25" s="69"/>
      <c r="AC25" s="75"/>
      <c r="AD25" s="21">
        <f t="shared" si="0"/>
        <v>0</v>
      </c>
    </row>
    <row r="26" spans="1:30" x14ac:dyDescent="0.25">
      <c r="A26" s="68"/>
      <c r="B26" s="77"/>
      <c r="C26" s="69"/>
      <c r="D26" s="69"/>
      <c r="E26" s="71"/>
      <c r="F26" s="77"/>
      <c r="G26" s="69"/>
      <c r="H26" s="69"/>
      <c r="I26" s="71"/>
      <c r="J26" s="77"/>
      <c r="K26" s="69"/>
      <c r="L26" s="69"/>
      <c r="M26" s="71"/>
      <c r="N26" s="77"/>
      <c r="O26" s="69"/>
      <c r="P26" s="69"/>
      <c r="Q26" s="71"/>
      <c r="R26" s="77"/>
      <c r="S26" s="69"/>
      <c r="T26" s="69"/>
      <c r="U26" s="71"/>
      <c r="V26" s="77"/>
      <c r="W26" s="69"/>
      <c r="X26" s="69"/>
      <c r="Y26" s="71"/>
      <c r="Z26" s="77"/>
      <c r="AA26" s="73"/>
      <c r="AB26" s="69"/>
      <c r="AC26" s="75"/>
      <c r="AD26" s="21">
        <f t="shared" si="0"/>
        <v>0</v>
      </c>
    </row>
    <row r="27" spans="1:30" x14ac:dyDescent="0.25">
      <c r="A27" s="68"/>
      <c r="B27" s="77"/>
      <c r="C27" s="69"/>
      <c r="D27" s="69"/>
      <c r="E27" s="71"/>
      <c r="F27" s="77"/>
      <c r="G27" s="69"/>
      <c r="H27" s="69"/>
      <c r="I27" s="71"/>
      <c r="J27" s="77"/>
      <c r="K27" s="69"/>
      <c r="L27" s="69"/>
      <c r="M27" s="71"/>
      <c r="N27" s="77"/>
      <c r="O27" s="69"/>
      <c r="P27" s="69"/>
      <c r="Q27" s="71"/>
      <c r="R27" s="77"/>
      <c r="S27" s="69"/>
      <c r="T27" s="69"/>
      <c r="U27" s="71"/>
      <c r="V27" s="77"/>
      <c r="W27" s="69"/>
      <c r="X27" s="69"/>
      <c r="Y27" s="71"/>
      <c r="Z27" s="77"/>
      <c r="AA27" s="73"/>
      <c r="AB27" s="69"/>
      <c r="AC27" s="75"/>
      <c r="AD27" s="21">
        <f t="shared" si="0"/>
        <v>0</v>
      </c>
    </row>
    <row r="28" spans="1:30" x14ac:dyDescent="0.25">
      <c r="A28" s="68"/>
      <c r="B28" s="77"/>
      <c r="C28" s="69"/>
      <c r="D28" s="69"/>
      <c r="E28" s="71"/>
      <c r="F28" s="77"/>
      <c r="G28" s="69"/>
      <c r="H28" s="69"/>
      <c r="I28" s="71"/>
      <c r="J28" s="77"/>
      <c r="K28" s="69"/>
      <c r="L28" s="69"/>
      <c r="M28" s="71"/>
      <c r="N28" s="77"/>
      <c r="O28" s="69"/>
      <c r="P28" s="69"/>
      <c r="Q28" s="71"/>
      <c r="R28" s="77"/>
      <c r="S28" s="69"/>
      <c r="T28" s="69"/>
      <c r="U28" s="71"/>
      <c r="V28" s="77"/>
      <c r="W28" s="69"/>
      <c r="X28" s="69"/>
      <c r="Y28" s="71"/>
      <c r="Z28" s="77"/>
      <c r="AA28" s="73"/>
      <c r="AB28" s="69"/>
      <c r="AC28" s="75"/>
      <c r="AD28" s="21">
        <f t="shared" si="0"/>
        <v>0</v>
      </c>
    </row>
    <row r="29" spans="1:30" ht="15.75" thickBot="1" x14ac:dyDescent="0.3">
      <c r="A29" s="68"/>
      <c r="B29" s="78"/>
      <c r="C29" s="70"/>
      <c r="D29" s="70"/>
      <c r="E29" s="72"/>
      <c r="F29" s="78"/>
      <c r="G29" s="70"/>
      <c r="H29" s="70"/>
      <c r="I29" s="72"/>
      <c r="J29" s="78"/>
      <c r="K29" s="70"/>
      <c r="L29" s="70"/>
      <c r="M29" s="72"/>
      <c r="N29" s="78"/>
      <c r="O29" s="70"/>
      <c r="P29" s="70"/>
      <c r="Q29" s="72"/>
      <c r="R29" s="78"/>
      <c r="S29" s="70"/>
      <c r="T29" s="70"/>
      <c r="U29" s="72"/>
      <c r="V29" s="78"/>
      <c r="W29" s="70"/>
      <c r="X29" s="70"/>
      <c r="Y29" s="72"/>
      <c r="Z29" s="78"/>
      <c r="AA29" s="74"/>
      <c r="AB29" s="70"/>
      <c r="AC29" s="76"/>
      <c r="AD29" s="22">
        <f t="shared" si="0"/>
        <v>0</v>
      </c>
    </row>
    <row r="30" spans="1:30" x14ac:dyDescent="0.25">
      <c r="A30" s="1"/>
      <c r="B30" s="1"/>
      <c r="C30" s="1">
        <f>SUM(C13:C29)</f>
        <v>0</v>
      </c>
      <c r="D30" s="1"/>
      <c r="E30" s="1">
        <f>SUM(E13:E29)</f>
        <v>0</v>
      </c>
      <c r="F30" s="1"/>
      <c r="G30" s="1">
        <f>SUM(G13:G29)</f>
        <v>0</v>
      </c>
      <c r="H30" s="1"/>
      <c r="I30" s="1">
        <f>SUM(I13:I29)</f>
        <v>0</v>
      </c>
      <c r="J30" s="1"/>
      <c r="K30" s="1">
        <f>SUM(K13:K29)</f>
        <v>0</v>
      </c>
      <c r="L30" s="1"/>
      <c r="M30" s="1">
        <f>SUM(M13:M29)</f>
        <v>0</v>
      </c>
      <c r="N30" s="1"/>
      <c r="O30" s="1">
        <f>SUM(O13:O29)</f>
        <v>0</v>
      </c>
      <c r="P30" s="1"/>
      <c r="Q30" s="1">
        <f>SUM(Q13:Q29)</f>
        <v>0</v>
      </c>
      <c r="R30" s="1"/>
      <c r="S30" s="1">
        <f>SUM(S13:S29)</f>
        <v>0</v>
      </c>
      <c r="T30" s="1"/>
      <c r="U30" s="1">
        <f>SUM(U13:U29)</f>
        <v>0</v>
      </c>
      <c r="V30" s="1"/>
      <c r="W30" s="1">
        <f>SUM(W13:W29)</f>
        <v>0</v>
      </c>
      <c r="X30" s="1"/>
      <c r="Y30" s="1">
        <f>SUM(Y13:Y29)</f>
        <v>0</v>
      </c>
      <c r="Z30" s="1"/>
      <c r="AA30" s="1">
        <f>SUM(AA13:AA29)</f>
        <v>0</v>
      </c>
      <c r="AB30" s="1"/>
      <c r="AC30" s="1">
        <f>SUM(AC13:AC29)</f>
        <v>0</v>
      </c>
      <c r="AD30" s="18">
        <f t="shared" si="0"/>
        <v>0</v>
      </c>
    </row>
  </sheetData>
  <sheetProtection sheet="1" objects="1" scenarios="1" selectLockedCells="1"/>
  <mergeCells count="8">
    <mergeCell ref="V10:X10"/>
    <mergeCell ref="Z10:AB10"/>
    <mergeCell ref="B3:F3"/>
    <mergeCell ref="B10:D10"/>
    <mergeCell ref="F10:H10"/>
    <mergeCell ref="J10:L10"/>
    <mergeCell ref="N10:P10"/>
    <mergeCell ref="R10:T10"/>
  </mergeCells>
  <dataValidations count="2">
    <dataValidation type="list" allowBlank="1" showInputMessage="1" showErrorMessage="1" sqref="A13:A29">
      <formula1>equipe</formula1>
    </dataValidation>
    <dataValidation type="list" allowBlank="1" showInputMessage="1" showErrorMessage="1" sqref="B13:B29 H13:H29 L13:L29 P13:P29 T13:T29 X13:X29 D13:D29 F13:F29 J13:J29 N13:N29 R13:R29 V13:V29 Z13:Z29 AB13:AB29">
      <formula1>taches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outon 2">
              <controlPr defaultSize="0" print="0" autoFill="0" autoPict="0" macro="[0]!Recherche_tache">
                <anchor moveWithCells="1" sizeWithCells="1">
                  <from>
                    <xdr:col>11</xdr:col>
                    <xdr:colOff>9525</xdr:colOff>
                    <xdr:row>6</xdr:row>
                    <xdr:rowOff>171450</xdr:rowOff>
                  </from>
                  <to>
                    <xdr:col>11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</vt:i4>
      </vt:variant>
    </vt:vector>
  </HeadingPairs>
  <TitlesOfParts>
    <vt:vector size="13" baseType="lpstr">
      <vt:lpstr>Resume</vt:lpstr>
      <vt:lpstr>Semaine1</vt:lpstr>
      <vt:lpstr>Semaine 2</vt:lpstr>
      <vt:lpstr>Semaine 3</vt:lpstr>
      <vt:lpstr>Semaine 4</vt:lpstr>
      <vt:lpstr>Semaine 5</vt:lpstr>
      <vt:lpstr>Semaine 6</vt:lpstr>
      <vt:lpstr>Semaine 7</vt:lpstr>
      <vt:lpstr>Semaine 8</vt:lpstr>
      <vt:lpstr>Semaine 9</vt:lpstr>
      <vt:lpstr>Semaine 10</vt:lpstr>
      <vt:lpstr>equipe</vt:lpstr>
      <vt:lpstr>taches</vt:lpstr>
    </vt:vector>
  </TitlesOfParts>
  <Company>ENAC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Jean-Francois VERON</dc:creator>
  <cp:lastModifiedBy>User</cp:lastModifiedBy>
  <dcterms:created xsi:type="dcterms:W3CDTF">2017-03-24T15:59:51Z</dcterms:created>
  <dcterms:modified xsi:type="dcterms:W3CDTF">2018-01-10T17:09:26Z</dcterms:modified>
</cp:coreProperties>
</file>